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calcChain.xml" ContentType="application/vnd.openxmlformats-officedocument.spreadsheetml.calcChain+xml"/>
  <Override PartName="/xl/worksheets/sheet3.xml" ContentType="application/vnd.openxmlformats-officedocument.spreadsheetml.worksheet+xml"/>
  <Override PartName="/docProps/app.xml" ContentType="application/vnd.openxmlformats-officedocument.extended-properties+xml"/>
  <Override PartName="/xl/worksheets/sheet4.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asserta.sharepoint.com/sites/AssertaIntranet/Documentos compartidos/Clientes/001 - Asserta/30 - Proyectos/063 - BBDD conocimiento Mdc/"/>
    </mc:Choice>
  </mc:AlternateContent>
  <xr:revisionPtr revIDLastSave="2" documentId="8_{EDC960A3-1627-4B2E-BCD3-F3D44A966944}" xr6:coauthVersionLast="47" xr6:coauthVersionMax="47" xr10:uidLastSave="{F4B6F7F1-52DE-482F-AF4B-630EDFEEB238}"/>
  <bookViews>
    <workbookView xWindow="-110" yWindow="-110" windowWidth="38620" windowHeight="21100" tabRatio="500" firstSheet="2" activeTab="7" xr2:uid="{00000000-000D-0000-FFFF-FFFF00000000}"/>
  </bookViews>
  <sheets>
    <sheet name="Resumen" sheetId="1" r:id="rId1"/>
    <sheet name="1. Principio Activo" sheetId="2" r:id="rId2"/>
    <sheet name="2. Medicamento" sheetId="3" r:id="rId3"/>
    <sheet name="3. Especialidad" sheetId="4" r:id="rId4"/>
    <sheet name="Eval. AEMPS (Especialidad)" sheetId="5" r:id="rId5"/>
    <sheet name="Fuente recomendada (Esp.)" sheetId="6" r:id="rId6"/>
    <sheet name="Eval. solo Ficha Técnica" sheetId="7" r:id="rId7"/>
    <sheet name="Estimación de esfuerzo" sheetId="8" r:id="rId8"/>
    <sheet name="4. Transversales" sheetId="9" r:id="rId9"/>
    <sheet name="Excluidos (gestión)" sheetId="10" r:id="rId10"/>
  </sheets>
  <definedNames>
    <definedName name="_xlnm._FilterDatabase" localSheetId="1" hidden="1">'1. Principio Activo'!$A$4:$J$152</definedName>
    <definedName name="_xlnm._FilterDatabase" localSheetId="2" hidden="1">'2. Medicamento'!$A$4:$J$123</definedName>
    <definedName name="_xlnm._FilterDatabase" localSheetId="3" hidden="1">'3. Especialidad'!$A$4:$J$39</definedName>
    <definedName name="_xlnm._FilterDatabase" localSheetId="8" hidden="1">'4. Transversales'!$A$4:$J$77</definedName>
    <definedName name="_xlnm._FilterDatabase" localSheetId="4" hidden="1">'Eval. AEMPS (Especialidad)'!$A$4:$H$37</definedName>
    <definedName name="_xlnm._FilterDatabase" localSheetId="6" hidden="1">'Eval. solo Ficha Técnica'!$A$4:$I$357</definedName>
    <definedName name="_xlnm._FilterDatabase" localSheetId="9" hidden="1">'Excluidos (gestión)'!$A$4:$J$141</definedName>
    <definedName name="_xlnm._FilterDatabase" localSheetId="5" hidden="1">'Fuente recomendada (Esp.)'!$A$4:$G$37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27" i="8" l="1"/>
  <c r="D26" i="8"/>
  <c r="D25" i="8"/>
  <c r="D24" i="8"/>
  <c r="D21" i="8"/>
  <c r="C27" i="8"/>
  <c r="C26" i="8"/>
  <c r="C25" i="8"/>
  <c r="C24" i="8"/>
  <c r="C21" i="8"/>
  <c r="C43" i="6"/>
  <c r="C42" i="6"/>
  <c r="C41" i="6"/>
  <c r="C40" i="6"/>
  <c r="C44" i="6" s="1"/>
  <c r="C43" i="5"/>
  <c r="C42" i="5"/>
  <c r="C41" i="5"/>
  <c r="C40" i="5"/>
  <c r="C44" i="5" s="1"/>
  <c r="D15" i="1"/>
  <c r="C15" i="1"/>
  <c r="B15" i="1"/>
  <c r="E15" i="1" s="1"/>
  <c r="D14" i="1"/>
  <c r="C14" i="1"/>
  <c r="B14" i="1"/>
  <c r="E14" i="1" s="1"/>
  <c r="D13" i="1"/>
  <c r="C13" i="1"/>
  <c r="B13" i="1"/>
  <c r="E13" i="1" s="1"/>
  <c r="D12" i="1"/>
  <c r="C12" i="1"/>
  <c r="B12" i="1"/>
  <c r="E12" i="1" s="1"/>
  <c r="D28" i="8" l="1"/>
  <c r="D30" i="8"/>
  <c r="D29" i="8"/>
  <c r="D31" i="8" s="1"/>
  <c r="C28" i="8"/>
  <c r="C29" i="8" s="1"/>
  <c r="D37" i="8" l="1"/>
  <c r="D36" i="8"/>
  <c r="D33" i="8"/>
  <c r="D32" i="8"/>
  <c r="C30" i="8"/>
  <c r="C31" i="8" s="1"/>
  <c r="C32" i="8" l="1"/>
  <c r="C33" i="8"/>
  <c r="C36" i="8"/>
  <c r="C37" i="8"/>
</calcChain>
</file>

<file path=xl/sharedStrings.xml><?xml version="1.0" encoding="utf-8"?>
<sst xmlns="http://schemas.openxmlformats.org/spreadsheetml/2006/main" count="7168" uniqueCount="1110">
  <si>
    <t>Catálogo de campos clínicos de medicamentos</t>
  </si>
  <si>
    <t>Extraído del fichero de especificación de carga. Contiene solo los nombres de campo, tipo, obligatoriedad y descripción; sin los valores de ejemplo.</t>
  </si>
  <si>
    <t>Categorías</t>
  </si>
  <si>
    <t>Clínico</t>
  </si>
  <si>
    <t>Dato con impacto en la prescripción, la administración, la seguridad o la monitorización del paciente.</t>
  </si>
  <si>
    <t>Clave</t>
  </si>
  <si>
    <t>Identificador o enlace entre entidades. No es clínico pero sin él no se puede montar el modelo.</t>
  </si>
  <si>
    <t>Técnico</t>
  </si>
  <si>
    <t>Control del registro (activo/inactivo, nemónico, tamaño de ventana).</t>
  </si>
  <si>
    <t>Gestión</t>
  </si>
  <si>
    <t>Compras, almacén, dispensación, facturación, precios. Excluido de las hojas por entidad y recogido aparte.</t>
  </si>
  <si>
    <t>Recuento por entidad</t>
  </si>
  <si>
    <t>Entidad</t>
  </si>
  <si>
    <t>Total conservado</t>
  </si>
  <si>
    <t>Gestión (excluido)</t>
  </si>
  <si>
    <t>1. Principio Activo</t>
  </si>
  <si>
    <t>2. Medicamento</t>
  </si>
  <si>
    <t>3. Especialidad</t>
  </si>
  <si>
    <t>4. Transversales</t>
  </si>
  <si>
    <t>Nota</t>
  </si>
  <si>
    <t>Los recuentos de la columna 'Gestión (excluido)' son valores fijos calculados en la extracción; el resto se recalculan con COUNTIF sobre cada hoja.</t>
  </si>
  <si>
    <t>PRINCIPIO ACTIVO — campos clínicos</t>
  </si>
  <si>
    <t>Nivel molécula: lo que no cambia entre marcas. Dosis máximas, vías, frecuencias, consejos y monitorización analítica.</t>
  </si>
  <si>
    <t>Nº</t>
  </si>
  <si>
    <t>Categoría</t>
  </si>
  <si>
    <t>Bloque / Tabla origen</t>
  </si>
  <si>
    <t>Sección</t>
  </si>
  <si>
    <t>Sub-bloque</t>
  </si>
  <si>
    <t>Campo</t>
  </si>
  <si>
    <t>Tipo</t>
  </si>
  <si>
    <t>Obl.</t>
  </si>
  <si>
    <t>Descripción</t>
  </si>
  <si>
    <t>Notas</t>
  </si>
  <si>
    <t>Principio activo - General+DMAX</t>
  </si>
  <si>
    <t>IDENTIFICACIÓN</t>
  </si>
  <si>
    <t>IDPRINACT</t>
  </si>
  <si>
    <t>ENTERO</t>
  </si>
  <si>
    <t>N*</t>
  </si>
  <si>
    <t>Identificador interno del principio activo.</t>
  </si>
  <si>
    <t>IDEXTERNO</t>
  </si>
  <si>
    <t>CHAR(20)</t>
  </si>
  <si>
    <t>Identificador del principio activo en la aplicación externa.</t>
  </si>
  <si>
    <t>ALTID</t>
  </si>
  <si>
    <t>CHAR(50)</t>
  </si>
  <si>
    <t>Identificador alternativo del principio activo.</t>
  </si>
  <si>
    <t>DESCRIPCION</t>
  </si>
  <si>
    <t>S*</t>
  </si>
  <si>
    <t>Descripción del principio activo.</t>
  </si>
  <si>
    <t>DETALLES</t>
  </si>
  <si>
    <t>ATC</t>
  </si>
  <si>
    <t>N</t>
  </si>
  <si>
    <t>Código ATC.</t>
  </si>
  <si>
    <t>RECOMENPRESCRIP</t>
  </si>
  <si>
    <t>CHAR(4000)</t>
  </si>
  <si>
    <t>Recomendaciones de prescripción.</t>
  </si>
  <si>
    <t>CITOSTATICO</t>
  </si>
  <si>
    <t>CHAR(1)</t>
  </si>
  <si>
    <t>S</t>
  </si>
  <si>
    <t>Indica si se trata de un principio activo citostático. Valores posibles: “S”: Sí “N”: No</t>
  </si>
  <si>
    <t>ACTIVO</t>
  </si>
  <si>
    <t>Estado de la activación del registro. Valores posibles: “S”: Activo “N”: No activo</t>
  </si>
  <si>
    <t>GRUPO TERAPÉUTICO - OBLIGATORIO</t>
  </si>
  <si>
    <t>GT_IDGRUPTERA</t>
  </si>
  <si>
    <t>Identificador interno del grupo terapéutico.</t>
  </si>
  <si>
    <t>GT_IDEXTERNO</t>
  </si>
  <si>
    <t>Identificador del grupo terapéutico en la aplicación externa.</t>
  </si>
  <si>
    <t>GT_CODIGO</t>
  </si>
  <si>
    <t>Código del grupo terapéutico.</t>
  </si>
  <si>
    <t>GT_ALTID</t>
  </si>
  <si>
    <t>Identificador alternativo del grupo terapéutico.</t>
  </si>
  <si>
    <t>UNIDAD - OBLIGATORIO</t>
  </si>
  <si>
    <t>UN_IDUNIDAD</t>
  </si>
  <si>
    <t>Identificador interno de la unidad.</t>
  </si>
  <si>
    <t>UN_IDEXTERNO</t>
  </si>
  <si>
    <t>Identificador de la unidad en la aplicación externa.</t>
  </si>
  <si>
    <t>UN_CODIGO</t>
  </si>
  <si>
    <t>Código de la unidad.</t>
  </si>
  <si>
    <t>UN_ALTID</t>
  </si>
  <si>
    <t>Identificador alternativo de la unidad.</t>
  </si>
  <si>
    <t>GERDOMAXTOMA</t>
  </si>
  <si>
    <t>DECIMAL (10, 3) &gt;=0</t>
  </si>
  <si>
    <t>Dosis máxima por toma y m2 de superficie corporal para pacientes de grupo poblacional geriátrico, expresada en las unidades indicadas en UNIDAD.</t>
  </si>
  <si>
    <t>GERDOMAXTOMAM2</t>
  </si>
  <si>
    <t>GERDOMAXTOMAKG</t>
  </si>
  <si>
    <t>Dosis máxima por toma y kilo para pacientes de grupo poblacional geriátrico, expresada en las unidades indicadas en UNIDAD.</t>
  </si>
  <si>
    <t>GERDOMAXDIA</t>
  </si>
  <si>
    <t>Dosis máxima por día para pacientes de grupo poblacional geriátrico, expresada en las unidades indicadas en UNIDAD.</t>
  </si>
  <si>
    <t>GERDOMAXDIAM2</t>
  </si>
  <si>
    <t>Dosis máxima por día y m2 de superficie corporal para pacientes de grupo poblacional geriátrico, expresada en las unidades indicadas en UNIDAD.</t>
  </si>
  <si>
    <t>GERDOMAXDIAKG</t>
  </si>
  <si>
    <t>Dosis máxima por día y kilo para pacientes de grupo poblacional geriátrico, expresada en las unidades indicadas en UNIDAD.</t>
  </si>
  <si>
    <t>GERNDIAS</t>
  </si>
  <si>
    <t>ENTERO &gt;=0</t>
  </si>
  <si>
    <t>Periodo de N días que define para pacientes de grupo poblacional geriátrico la dosis máxima en un periodo (campo siguiente)</t>
  </si>
  <si>
    <t>GERDOMAXNDIAS</t>
  </si>
  <si>
    <t>Dosis máxima por periodo de N días para pacientes de grupo poblacional geriátrico, expresada en las unidades indicadas en UNIDAD.</t>
  </si>
  <si>
    <t>GERNDIASM2</t>
  </si>
  <si>
    <t>Periodo de N días que define para pacientes de grupo poblacional geriátrico la dosis máxima por m2 de superficie corporal en un periodo (campo siguiente)</t>
  </si>
  <si>
    <t>GERDOMAXNDIASM2</t>
  </si>
  <si>
    <t>Dosis máxima por m2 de superficie corporal en un periodo de N días para pacientes de grupo poblacional geriátrico, expresada en las unidades indicadas en UNIDAD.</t>
  </si>
  <si>
    <t>GERNDIASKG</t>
  </si>
  <si>
    <t>Periodo de N días que define para pacientes de grupo poblacional geriátrico la dosis máxima por kilo en un periodo (campo siguiente)</t>
  </si>
  <si>
    <t>GERDOMAXNDIASKG</t>
  </si>
  <si>
    <t>Dosis máxima por kilo en un periodo de N días para pacientes de grupo poblacional geriátrico, expresada en las unidades indicadas en UNIDAD.</t>
  </si>
  <si>
    <t>GERDOMAXACUMULADA</t>
  </si>
  <si>
    <t>Dosis máxima acumulada por paciente para pacientes de grupo poblacional geriátrico, expresada en las unidades indicadas en UNIDAD.</t>
  </si>
  <si>
    <t>GERDOMAXACUMULADAM2</t>
  </si>
  <si>
    <t>Dosis máxima acumulada por paciente y m2 de superficie corporal para pacientes de grupo poblacional geriátrico, expresada en las unidades indicadas en UNIDAD.</t>
  </si>
  <si>
    <t>GERDOMAXACUMULADAKG</t>
  </si>
  <si>
    <t>Dosis máxima acumulada por paciente y kilo para pacientes de grupo poblacional geriátrico, expresada en las unidades indicadas en UNIDAD.</t>
  </si>
  <si>
    <t>ADUDOMAXTOMA</t>
  </si>
  <si>
    <t>Dosis máxima por toma y m2 de superficie corporal para pacientes de grupo poblacional adulto, expresada en las unidades indicadas en UNIDAD.</t>
  </si>
  <si>
    <t>ADUDOMAXTOMAM2</t>
  </si>
  <si>
    <t>ADUDOMAXTOMAKG</t>
  </si>
  <si>
    <t>Dosis máxima por toma y kilo para pacientes de grupo poblacional adulto, expresada en las unidades indicadas en UNIDAD.</t>
  </si>
  <si>
    <t>ADUDOMAXDIA</t>
  </si>
  <si>
    <t>Dosis máxima por día para pacientes de grupo poblacional adulto, expresada en las unidades indicadas en UNIDAD.</t>
  </si>
  <si>
    <t>ADUDOMAXDIAM2</t>
  </si>
  <si>
    <t>Dosis máxima por día y m2 de superficie corporal para pacientes de grupo poblacional adulto, expresada en las unidades indicadas en UNIDAD.</t>
  </si>
  <si>
    <t>ADUDOMAXDIAKG</t>
  </si>
  <si>
    <t>Dosis máxima por día y kilo para pacientes de grupo poblacional adulto, expresada en las unidades indicadas en UNIDAD.</t>
  </si>
  <si>
    <t>ADUNDIAS</t>
  </si>
  <si>
    <t>Periodo de N días que define para pacientes de grupo poblacional adulto la dosis máxima en un periodo (campo siguiente)</t>
  </si>
  <si>
    <t>ADUDOMAXNDIAS</t>
  </si>
  <si>
    <t>Dosis máxima por periodo de N días para pacientes de grupo poblacional adulto, expresada en las unidades indicadas en UNIDAD.</t>
  </si>
  <si>
    <t>ADUNDIASM2</t>
  </si>
  <si>
    <t>Periodo de N días que define para pacientes de grupo poblacional adulto la dosis máxima por m2 de superficie corporal en un periodo (campo siguiente)</t>
  </si>
  <si>
    <t>ADUDOMAXNDIASM2</t>
  </si>
  <si>
    <t>Dosis máxima por m2 de superficie corporal en un periodo de N días para pacientes de grupo poblacional adulto, expresada en las unidades indicadas en UNIDAD.</t>
  </si>
  <si>
    <t>ADUNDIASKG</t>
  </si>
  <si>
    <t>Periodo de N días que define para pacientes de grupo poblacional adulto la dosis máxima por kilo en un periodo (campo siguiente)</t>
  </si>
  <si>
    <t>ADUDOMAXNDIASKG</t>
  </si>
  <si>
    <t>Dosis máxima por kilo en un periodo de N días para pacientes de grupo poblacional adulto, expresada en las unidades indicadas en UNIDAD.</t>
  </si>
  <si>
    <t>ADUDOMAXACUMULADA</t>
  </si>
  <si>
    <t>Dosis máxima acumulada por paciente para pacientes de grupo poblacional adulto, expresada en las unidades indicadas en UNIDAD.</t>
  </si>
  <si>
    <t>ADUDOMAXACUMULADAM2</t>
  </si>
  <si>
    <t>Dosis máxima acumulada por paciente y m2 de superficie corporal para pacientes de grupo poblacional adulto, expresada en las unidades indicadas en UNIDAD.</t>
  </si>
  <si>
    <t>ADUDOMAXACUMULADAKG</t>
  </si>
  <si>
    <t>Dosis máxima acumulada por paciente y kilo para pacientes de grupo poblacional adulto, expresada en las unidades indicadas en UNIDAD.</t>
  </si>
  <si>
    <t>PEDDOMAXTOMA</t>
  </si>
  <si>
    <t>Dosis máxima por toma y m2 de superficie corporal para pacientes de grupo poblacional pediátrico, expresada en las unidades indicadas en UNIDAD.</t>
  </si>
  <si>
    <t>PEDDOMAXTOMAM2</t>
  </si>
  <si>
    <t>PEDDOMAXTOMAKG</t>
  </si>
  <si>
    <t>Dosis máxima por toma y kilo para pacientes de grupo poblacional pediátrico, expresada en las unidades indicadas en UNIDAD.</t>
  </si>
  <si>
    <t>PEDDOMAXDIA</t>
  </si>
  <si>
    <t>Dosis máxima por día para pacientes de grupo poblacional pediátrico, expresada en las unidades indicadas en UNIDAD.</t>
  </si>
  <si>
    <t>PEDDOMAXDIAM2</t>
  </si>
  <si>
    <t>Dosis máxima por día y m2 de superficie corporal para pacientes de grupo poblacional pediátrico, expresada en las unidades indicadas en UNIDAD.</t>
  </si>
  <si>
    <t>PEDDOMAXDIAKG</t>
  </si>
  <si>
    <t>Dosis máxima por día y kilo para pacientes de grupo poblacional pediátrico, expresada en las unidades indicadas en UNIDAD.</t>
  </si>
  <si>
    <t>PEDNDIAS</t>
  </si>
  <si>
    <t>Periodo de N días que define para pacientes de grupo poblacional pediátrico la dosis máxima en un periodo (campo siguiente)</t>
  </si>
  <si>
    <t>PEDDOMAXNDIAS</t>
  </si>
  <si>
    <t>Dosis máxima por periodo de N días para pacientes de grupo poblacional pediátrico, expresada en las unidades indicadas en UNIDAD.</t>
  </si>
  <si>
    <t>PEDNDIASM2</t>
  </si>
  <si>
    <t>Periodo de N días que define para pacientes de grupo poblacional pediátrico la dosis máxima por m2 de superficie corporal en un periodo (campo siguiente)</t>
  </si>
  <si>
    <t>PEDDOMAXNDIASM2</t>
  </si>
  <si>
    <t>Dosis máxima por m2 de superficie corporal en un periodo de N días para pacientes de grupo poblacional pediátrico, expresada en las unidades indicadas en UNIDAD.</t>
  </si>
  <si>
    <t>PEDNDIASKG</t>
  </si>
  <si>
    <t>Periodo de N días que define para pacientes de grupo poblacional pediátrico la dosis máxima por kilo en un periodo (campo siguiente)</t>
  </si>
  <si>
    <t>PEDDOMAXNDIASKG</t>
  </si>
  <si>
    <t>Dosis máxima por kilo en un periodo de N días para pacientes de grupo poblacional pediátrico, expresada en las unidades indicadas en UNIDAD.</t>
  </si>
  <si>
    <t>PEDDOMAXACUMULADA</t>
  </si>
  <si>
    <t>Dosis máxima acumulada por paciente para pacientes de grupo poblacional pediátrico, expresada en las unidades indicadas en UNIDAD.</t>
  </si>
  <si>
    <t>PEDDOMAXACUMULADAM2</t>
  </si>
  <si>
    <t>Dosis máxima acumulada por paciente y m2 de superficie corporal para pacientes de grupo poblacional pediátrico, expresada en las unidades indicadas en UNIDAD.</t>
  </si>
  <si>
    <t>PEDDOMAXACUMULADAKG</t>
  </si>
  <si>
    <t>Dosis máxima acumulada por paciente y kilo para pacientes de grupo poblacional pediátrico, expresada en las unidades indicadas en UNIDAD.</t>
  </si>
  <si>
    <t>LACDOMAXTOMA</t>
  </si>
  <si>
    <t>Dosis máxima por toma y m2 de superficie corporal para pacientes de grupo poblacional lactante, expresada en las unidades indicadas en UNIDAD.</t>
  </si>
  <si>
    <t>LACDOMAXTOMAM2</t>
  </si>
  <si>
    <t>LACDOMAXTOMAKG</t>
  </si>
  <si>
    <t>Dosis máxima por toma y kilo para pacientes de grupo poblacional lactante, expresada en las unidades indicadas en UNIDAD.</t>
  </si>
  <si>
    <t>LACDOMAXDIA</t>
  </si>
  <si>
    <t>Dosis máxima por día para pacientes de grupo poblacional lactante, expresada en las unidades indicadas en UNIDAD.</t>
  </si>
  <si>
    <t>LACDOMAXDIAM2</t>
  </si>
  <si>
    <t>Dosis máxima por día y m2 de superficie corporal para pacientes de grupo poblacional lactante, expresada en las unidades indicadas en UNIDAD.</t>
  </si>
  <si>
    <t>LACDOMAXDIAKG</t>
  </si>
  <si>
    <t>Dosis máxima por día y kilo para pacientes de grupo poblacional lactante, expresada en las unidades indicadas en UNIDAD.</t>
  </si>
  <si>
    <t>LACNDIAS</t>
  </si>
  <si>
    <t>Periodo de N días que define para pacientes de grupo poblacional lactante la dosis máxima en un periodo (campo siguiente)</t>
  </si>
  <si>
    <t>LACDOMAXNDIAS</t>
  </si>
  <si>
    <t>Dosis máxima por periodo de N días para pacientes de grupo poblacional lactante, expresada en las unidades indicadas en UNIDAD.</t>
  </si>
  <si>
    <t>LACNDIASM2</t>
  </si>
  <si>
    <t>Periodo de N días que define para pacientes de grupo poblacional lactante la dosis máxima por m2 de superficie corporal en un periodo (campo siguiente)</t>
  </si>
  <si>
    <t>LACDOMAXNDIASM2</t>
  </si>
  <si>
    <t>Dosis máxima por m2 de superficie corporal en un periodo de N días para pacientes de grupo poblacional lactante, expresada en las unidades indicadas en UNIDAD.</t>
  </si>
  <si>
    <t>LACNDIASKG</t>
  </si>
  <si>
    <t>Periodo de N días que define para pacientes de grupo poblacional lactante la dosis máxima por kilo en un periodo (campo siguiente)</t>
  </si>
  <si>
    <t>LACDOMAXNDIASKG</t>
  </si>
  <si>
    <t>Dosis máxima por kilo en un periodo de N días para pacientes de grupo poblacional lactante, expresada en las unidades indicadas en UNIDAD.</t>
  </si>
  <si>
    <t>LACDOMAXACUMULADA</t>
  </si>
  <si>
    <t>Dosis máxima acumulada por paciente para pacientes de grupo poblacional lactante, expresada en las unidades indicadas en UNIDAD.</t>
  </si>
  <si>
    <t>LACDOMAXACUMULADAM2</t>
  </si>
  <si>
    <t>Dosis máxima acumulada por paciente y m2 de superficie corporal para pacientes de grupo poblacional lactante, expresada en las unidades indicadas en UNIDAD.</t>
  </si>
  <si>
    <t>LACDOMAXACUMULADAKG</t>
  </si>
  <si>
    <t>Dosis máxima acumulada por paciente y kilo para pacientes de grupo poblacional lactante, expresada en las unidades indicadas en UNIDAD.</t>
  </si>
  <si>
    <t>NEODOMAXTOMA</t>
  </si>
  <si>
    <t>DECIMAL (10, 3, &gt;=0</t>
  </si>
  <si>
    <t>Dosis máxima por toma y m2 de superficie corporal para pacientes de grupo poblacional neonato, expresada en las unidades indicadas en UNIDAD.</t>
  </si>
  <si>
    <t>NEODOMAXTOMAM2</t>
  </si>
  <si>
    <t>NEODOMAXTOMAKG</t>
  </si>
  <si>
    <t>Dosis máxima por toma y kilo para pacientes de grupo poblacional neonato, expresada en las unidades indicadas en UNIDAD.</t>
  </si>
  <si>
    <t>NEODOMAXDIA</t>
  </si>
  <si>
    <t>Dosis máxima por día para pacientes de grupo poblacional neonato, expresada en las unidades indicadas en UNIDAD.</t>
  </si>
  <si>
    <t>NEODOMAXDIAM2</t>
  </si>
  <si>
    <t>Dosis máxima por día y m2 de superficie corporal para pacientes de grupo poblacional neonato, expresada en las unidades indicadas en UNIDAD.</t>
  </si>
  <si>
    <t>NEODOMAXDIAKG</t>
  </si>
  <si>
    <t>Dosis máxima por día y kilo para pacientes de grupo poblacional neonato, expresada en las unidades indicadas en UNIDAD.</t>
  </si>
  <si>
    <t>NEONDIAS</t>
  </si>
  <si>
    <t>ENTERO, &gt;=0</t>
  </si>
  <si>
    <t>Periodo de N días que define para pacientes de grupo poblacional neonato la dosis máxima en un periodo (campo siguiente)</t>
  </si>
  <si>
    <t>NEODOMAXNDIAS</t>
  </si>
  <si>
    <t>Dosis máxima por periodo de N días para pacientes de grupo poblacional neonato, expresada en las unidades indicadas en UNIDAD.</t>
  </si>
  <si>
    <t>NEONDIASM2</t>
  </si>
  <si>
    <t>Periodo de N días que define para pacientes de grupo poblacional neonato la dosis máxima por m2 de superficie corporal en un periodo (campo siguiente)</t>
  </si>
  <si>
    <t>NEODOMAXNDIASM2</t>
  </si>
  <si>
    <t>DECIMAL, (10, 3), &gt;=0</t>
  </si>
  <si>
    <t>Dosis máxima por m2 de superficie corporal en un periodo de N días para pacientes de grupo poblacional neonato, expresada en las unidades indicadas en UNIDAD.</t>
  </si>
  <si>
    <t>NEONDIASKG</t>
  </si>
  <si>
    <t>Periodo de N días que define para pacientes de grupo poblacional neonato la dosis máxima por kilo en un periodo (campo siguiente)</t>
  </si>
  <si>
    <t>NEODOMAXNDIASKG</t>
  </si>
  <si>
    <t>Dosis máxima por kilo en un periodo de N días para pacientes de grupo poblacional neonato, expresada en las unidades indicadas en UNIDAD.</t>
  </si>
  <si>
    <t>NEODOMAXACUMULADA</t>
  </si>
  <si>
    <t>Dosis máxima acumulada por paciente para pacientes de grupo poblacional neonato, expresada en las unidades indicadas en UNIDAD.</t>
  </si>
  <si>
    <t>NEODOMAXACUMULADAM2</t>
  </si>
  <si>
    <t>Dosis máxima acumulada por paciente y m2 de superficie corporal para pacientes de grupo poblacional neonato, expresada en las unidades indicadas en UNIDAD.</t>
  </si>
  <si>
    <t>NEODOMAXACUMULADAKG</t>
  </si>
  <si>
    <t>Dosis máxima acumulada por paciente y kilo para pacientes de grupo poblacional neonato, expresada en las unidades indicadas en UNIDAD.</t>
  </si>
  <si>
    <t>Principio activo - Frecuencias</t>
  </si>
  <si>
    <t>PRINCIPIO ACTIVO</t>
  </si>
  <si>
    <t>FRECUENCIA</t>
  </si>
  <si>
    <t>FQ_IDFRECUENCIA</t>
  </si>
  <si>
    <t>Identificador interno de la frecuencia.</t>
  </si>
  <si>
    <t>FQ_IDEXTERNO</t>
  </si>
  <si>
    <t>Identificador de la frecuencia en la aplicación externa.</t>
  </si>
  <si>
    <t>FQ_CODIGO</t>
  </si>
  <si>
    <t>Código de la frecuencia.</t>
  </si>
  <si>
    <t>FQ_ALTID</t>
  </si>
  <si>
    <t>Identificador alternativo de la frecuencia.</t>
  </si>
  <si>
    <t>Principio activo - Vías</t>
  </si>
  <si>
    <t>VÍAS</t>
  </si>
  <si>
    <t>VIA_IDVIA</t>
  </si>
  <si>
    <t>Identificador interno de la vía.</t>
  </si>
  <si>
    <t>VIA_IDEXTERNO</t>
  </si>
  <si>
    <t>Identificador de la vía en la aplicación externa.</t>
  </si>
  <si>
    <t>VIA_CODIGO</t>
  </si>
  <si>
    <t>Código de la vía.</t>
  </si>
  <si>
    <t>VIA_ALTID</t>
  </si>
  <si>
    <t>Identificador alternativo de la vía.</t>
  </si>
  <si>
    <t>Principio activo - Consejos</t>
  </si>
  <si>
    <t>FORMA FARMACÉUTICA</t>
  </si>
  <si>
    <t>FF_FORMAFAR</t>
  </si>
  <si>
    <t>Identificador interno de la forma farmacéutica.</t>
  </si>
  <si>
    <t>FF_IDEXTERNO</t>
  </si>
  <si>
    <t>Identificador de la forma farmacéutica en la aplicación externa.</t>
  </si>
  <si>
    <t>FF_CODIGO</t>
  </si>
  <si>
    <t>Código de la forma farmacéutica.</t>
  </si>
  <si>
    <t>FF_ALTID</t>
  </si>
  <si>
    <t>Identificador alternativo de la forma farmacéutica.</t>
  </si>
  <si>
    <t>INDICADANEONATO</t>
  </si>
  <si>
    <t>Indica si el consejo aplica para pacientes del grupo poblacional “neonato”. Valores posibles: “S”: Sí. “N”: No.</t>
  </si>
  <si>
    <t>INDICADALACTANTE</t>
  </si>
  <si>
    <t>Indica si el consejo aplica para pacientes del grupo poblacional “lactante”. Valores posibles: “S”: Sí. “N”: No.</t>
  </si>
  <si>
    <t>INDICADAPEDIATRICO</t>
  </si>
  <si>
    <t>Indica si el consejo aplica para pacientes del grupo poblacional “pediátrico”. Valores posibles: “S”: Sí. “N”: No.</t>
  </si>
  <si>
    <t>INDICADAADULTO</t>
  </si>
  <si>
    <t>Indica si el consejo aplica para pacientes del grupo poblacional “adulto”. Valores posibles: “S”: Sí. “N”: No.</t>
  </si>
  <si>
    <t>INDICADAGERIATRICO</t>
  </si>
  <si>
    <t>Indica si el consejo aplica para pacientes del grupo poblacional “geriátrico”. Valores posibles: “S”: Sí. “N”: No.</t>
  </si>
  <si>
    <t>OBSERVACIONES</t>
  </si>
  <si>
    <t>CHAR(255)</t>
  </si>
  <si>
    <t>Observaciones</t>
  </si>
  <si>
    <t>Principio activo - DAnaliticos</t>
  </si>
  <si>
    <t>DATO ANALÍTICO</t>
  </si>
  <si>
    <t>DA_IDDATOANALITICO</t>
  </si>
  <si>
    <t>Identificador interno del dato analítico.</t>
  </si>
  <si>
    <t>DA_IDEXTERNO</t>
  </si>
  <si>
    <t>Identificador del dato analítico en la aplicación externa.</t>
  </si>
  <si>
    <t>DA_CODIGO</t>
  </si>
  <si>
    <t>Código del dato analítico.</t>
  </si>
  <si>
    <t>DA_ALTID</t>
  </si>
  <si>
    <t>Identificador alternativo del dato analítico.</t>
  </si>
  <si>
    <t>GRAVEDAD</t>
  </si>
  <si>
    <t>Gravedad de la alerta en el caso que se detecte cuando se monitoriza el dato analítico. Valores posibles: “A”: Alta. “M”: Media. “B”: Baja.</t>
  </si>
  <si>
    <t>VALORCORTE</t>
  </si>
  <si>
    <t>DECIMAL (10, 3)</t>
  </si>
  <si>
    <t>Valor a partir del cual se produce una alerta de monitorización.</t>
  </si>
  <si>
    <t>VALORCORTECONDICION</t>
  </si>
  <si>
    <t>CHAR(2)</t>
  </si>
  <si>
    <t>Condición que se aplica sobre el valor de corte para que se produzca la alerta. Valores posibles: “P”: &lt; "PI": &lt;= "G": &gt; "GI": &gt;=</t>
  </si>
  <si>
    <t>APLICANEONATO</t>
  </si>
  <si>
    <t>Indicador de si el valor de corte aplica a los pacientes neonatos. Valores posibles: “S”: Sí. “N”: No.</t>
  </si>
  <si>
    <t>APLICALACTANTE</t>
  </si>
  <si>
    <t>Indicador de si el valor de corte aplica a los pacientes lactantes. Valores posibles: “S”: Sí. “N”: No.</t>
  </si>
  <si>
    <t>APLICAPEDIATRICO</t>
  </si>
  <si>
    <t>Indicador de si el valor de corte aplica a los pacientes pediátricos. Valores posibles: “S”: Sí. “N”: No.</t>
  </si>
  <si>
    <t>APLICAADULTO</t>
  </si>
  <si>
    <t>Indicador de si el valor de corte aplica a los pacientes adultos. Valores posibles: “S”: Sí. “N”: No.</t>
  </si>
  <si>
    <t>APLICAGERIATRICO</t>
  </si>
  <si>
    <t>Indicador de si el valor de corte aplica a los pacientes geriátricos. Valores posibles: “S”: Sí. “N”: No.</t>
  </si>
  <si>
    <t>Estado de activación del registro. Valores posibles: “S”: Activo. “N”: No activo.</t>
  </si>
  <si>
    <t>MEDICAMENTO — campos clínicos</t>
  </si>
  <si>
    <t>Nivel producto prescribible (molécula + dosis + forma). Composición, indicaciones, vías, frecuencias y pauta por defecto por grupo poblacional.</t>
  </si>
  <si>
    <t>Medicamento - General</t>
  </si>
  <si>
    <t>IDMEDICAME</t>
  </si>
  <si>
    <t>Identificador interno del medicamento.</t>
  </si>
  <si>
    <t>Identificador del medicamento en la aplicación externa.</t>
  </si>
  <si>
    <t>Identificador alternativo del medicamento.</t>
  </si>
  <si>
    <t>CHAR(100)</t>
  </si>
  <si>
    <t>Descripción del medicamento.</t>
  </si>
  <si>
    <t>NEMONICO</t>
  </si>
  <si>
    <t>Nemónico del medicamento</t>
  </si>
  <si>
    <t>ADMINISTRACION</t>
  </si>
  <si>
    <t>Tipo de administración del medicamento. Valores posibles: “F”: Fluidoterapia “M”: Inmediata “R”: Transdérmica</t>
  </si>
  <si>
    <t>TASALIBERACION</t>
  </si>
  <si>
    <t>DECIMAL (10, 3) &gt; 0</t>
  </si>
  <si>
    <t>Tasa de liberación de PA en el caso de tratarse de un medicamento transdérmico expresado en unidades de medicamento. Obligatorio si el ADMINISTRACION = “R”.</t>
  </si>
  <si>
    <t>TASALIBERACIONHORAS</t>
  </si>
  <si>
    <t>ENTERO &gt;= 1 y &lt;= 999</t>
  </si>
  <si>
    <t>Número de horas de la tasa de liberación en caso de administración de medicamento transdérmico. Obligatorio si el ADMINISTRACION = “R”.</t>
  </si>
  <si>
    <t>VOLUMEN</t>
  </si>
  <si>
    <t>Volumen del medicamento para administración por fluidoterapia, expresado en ml. Obligatorio si el ADMINISTRACION = “F”.</t>
  </si>
  <si>
    <t>FORMA FARMACÉUTICA - OBLIGATORIO</t>
  </si>
  <si>
    <t>DOSIS</t>
  </si>
  <si>
    <t>DECIMAL(10, 3) &gt; 0</t>
  </si>
  <si>
    <t>Dosis del medicamento, expresada en unidades de dosis</t>
  </si>
  <si>
    <t>UNIDAD DE DOSIS - OBLIGATORIO</t>
  </si>
  <si>
    <t>UD_IDUNIDAD</t>
  </si>
  <si>
    <t>Identificador interno de la unidad de dosis.</t>
  </si>
  <si>
    <t>UD_IDEXTERNO</t>
  </si>
  <si>
    <t>Identificador de la unidad de dosis en la aplicación externa.</t>
  </si>
  <si>
    <t>UD_CODIGO</t>
  </si>
  <si>
    <t>Código de la unidad de dosis.</t>
  </si>
  <si>
    <t>UD_ALTID</t>
  </si>
  <si>
    <t>Identificador alternativo de la unidad de dosis.</t>
  </si>
  <si>
    <t>DOSISADMIN</t>
  </si>
  <si>
    <t>Dosis de administración, expresada en unidades de administración.</t>
  </si>
  <si>
    <t>UDA_IDUNIDAD</t>
  </si>
  <si>
    <t>Identificador interno de la unidad de dosis de administración.</t>
  </si>
  <si>
    <t>UDA_IDEXTERNO</t>
  </si>
  <si>
    <t>Identificador de la unidad de dosis de administración en la aplicación externa.</t>
  </si>
  <si>
    <t>UDA_CODIGO</t>
  </si>
  <si>
    <t>Código de la unidad de dosis de administración.</t>
  </si>
  <si>
    <t>UDA_ALTID</t>
  </si>
  <si>
    <t>Identificador alternativo de la unidad de dosis de administración.</t>
  </si>
  <si>
    <t>NOADMINSOLO</t>
  </si>
  <si>
    <t>Indica si el medicamento no se puede administrar solo. Valores posibles: "S": No es posible administrarlo solo "N": Es posible administrarlo solo.</t>
  </si>
  <si>
    <t>Clínico: obliga a dilución / vehículo.</t>
  </si>
  <si>
    <t>FUNCRENA</t>
  </si>
  <si>
    <t>Indica si el medicamento tiene función renal. Valores posibles: "S": Sí. "N": No.</t>
  </si>
  <si>
    <t>FUNCHEPA</t>
  </si>
  <si>
    <t>Indica si el medicamento tiene función hepática. Valores posibles: "S": Sí. "N": No.</t>
  </si>
  <si>
    <t>STOPORDER</t>
  </si>
  <si>
    <t>ENTERO &gt;= 0</t>
  </si>
  <si>
    <t>Stop order, expresado en días</t>
  </si>
  <si>
    <t>Clínico: parada automática del tratamiento a los N días.</t>
  </si>
  <si>
    <t>INDICADOGERIATRICO</t>
  </si>
  <si>
    <t>Indica que el medicamento está disponible para pacientes del grupo poblacional geriátrico. Valores posibles: "S": Sí. "N": No.</t>
  </si>
  <si>
    <t>INDICADOADULTO</t>
  </si>
  <si>
    <t>Indica que el medicamento está disponible para pacientes del grupo poblacional adulto. Valores posibles: "S": Sí. "N": No.</t>
  </si>
  <si>
    <t>INDICADOPEDIATRICO</t>
  </si>
  <si>
    <t>Indica que el medicamento está disponible para pacientes del grupo poblacional pediátrico. Valores posibles: "S": Sí. "N": No.</t>
  </si>
  <si>
    <t>INDICADOLACTANTE</t>
  </si>
  <si>
    <t>Indica que el medicamento está disponible para pacientes del grupo poblacional lactante. Valores posibles: "S": Sí. "N": No.</t>
  </si>
  <si>
    <t>INDICADONEONATO</t>
  </si>
  <si>
    <t>Indica que el medicamento está disponible para pacientes del grupo poblacional neonato. Valores posibles: "S": Sí. "N": No.</t>
  </si>
  <si>
    <t>Medicamento - Composición</t>
  </si>
  <si>
    <t>MEDICAMENTO</t>
  </si>
  <si>
    <t>CANTIDAD</t>
  </si>
  <si>
    <t>Cantidad de principio activo presente en la composición del medicamento. Expresado en la unidad referenciadas en los campos de UNIDAD.</t>
  </si>
  <si>
    <t>UNIDAD - OBLIGATORIO - DEBE COINCIDIR CON LA UNIDAD DEL PRINCIPIO ACTIVO</t>
  </si>
  <si>
    <t>Medicamento - Indicaciones</t>
  </si>
  <si>
    <t>INDICACIÓN</t>
  </si>
  <si>
    <t>IN_IDINDICACION</t>
  </si>
  <si>
    <t>Identificador interno de la indicación.</t>
  </si>
  <si>
    <t>IN_IDEXTERNO</t>
  </si>
  <si>
    <t>Identificador de la indicación en la aplicación externa.</t>
  </si>
  <si>
    <t>IN_CODIGO</t>
  </si>
  <si>
    <t>Código de la indicación.</t>
  </si>
  <si>
    <t>IN_ALTID</t>
  </si>
  <si>
    <t>Identificador alternativo de la indicación.</t>
  </si>
  <si>
    <t>Medicamento - Frecuencias</t>
  </si>
  <si>
    <t>TIEMPOADMINISTRACION</t>
  </si>
  <si>
    <t>CHAR(8)</t>
  </si>
  <si>
    <t>Tiempo de administración por defecto al prescribir el medicamento usando la frecuencia. Formato HHH:mm. Obligatorio si ADMINISTRACION = “F” (fluidoterapia) o “R” (transdérmica).</t>
  </si>
  <si>
    <t>Medicamento - Vías</t>
  </si>
  <si>
    <t>VÍA</t>
  </si>
  <si>
    <t>Medicamento - Info prescripción</t>
  </si>
  <si>
    <t>GRUPO POBLACIONAL</t>
  </si>
  <si>
    <t>GRUPOPOBLACIONAL</t>
  </si>
  <si>
    <t>Grupo poblacional afectado. Valores posibles: “N”: neonato “L”: lactante “P”: pediátrico “A”: adulto “G”: geriátrico</t>
  </si>
  <si>
    <t>FRECUENCIA - OPCIONAL</t>
  </si>
  <si>
    <t>VÍA - OPCIONAL</t>
  </si>
  <si>
    <t>DECIMAL, (10, 3) &gt;= 0 o el valor fijo "*".</t>
  </si>
  <si>
    <t>Dosis del medicamento, expresada en: - Unidad de administración si UNIDADTIPO=A. - Unidad de dosis si UNIDADTIPO=D y no está informada la UNIDADEQUIVALENTE. - Unidad de dosis equivalente si UNIDADTIPO=D y está informada la UNIDADEQUIVALENTE. - Unidad de dosis/kg si UNIDADTIPO=K y no está informada la UNIDADEQUIVALENTE. - Unidad de dosis equivalente/kg si UNIDADTIPO=K y está informada la UNIDADEQUIVALENTE. - Unidad de dosis/superficie corporal si UNIDADTIPO=M y no está informada la UNIDADEQUIVALENTE. - Unidad de dosis equivalente/superficie corporal si UNIDADTIPO=M y está informada la UNIDADEQUIVALENTE.</t>
  </si>
  <si>
    <t>UNIDADTIPO</t>
  </si>
  <si>
    <t>CHAR (1)</t>
  </si>
  <si>
    <t>Tipo de dosis utilizada para la dosis por defecto. Valores posibles: “A”: Unidad de Administración “D”: Unidad Dosis “K”: Unidad Dosis / kg “M”: Unidad Dosis / superficie corporal</t>
  </si>
  <si>
    <t>UNIDAD EQUIVALENTE - OBLIGATORIO</t>
  </si>
  <si>
    <t>UNE_IDUNIDAD</t>
  </si>
  <si>
    <t>Identificador interno de la unidad equivalente.</t>
  </si>
  <si>
    <t>UNE_IDEXTERNO</t>
  </si>
  <si>
    <t>Identificador de la unidad equivalente en la aplicación externa.</t>
  </si>
  <si>
    <t>UNE_CODIGO</t>
  </si>
  <si>
    <t>Código de la unidad equivalente.</t>
  </si>
  <si>
    <t>UNE_ALTID</t>
  </si>
  <si>
    <t>Identificador alternativo de la unidad equivalente.</t>
  </si>
  <si>
    <t>EQUIVALENCIA</t>
  </si>
  <si>
    <t>DECIMAL (10, 3) &gt; 0 y &lt;= 1000000</t>
  </si>
  <si>
    <t>Valor de equivalencia para ambas unidades de medida. Obligatorio si se informa la unidad.</t>
  </si>
  <si>
    <t>Observaciones de la prescripción para el grupo poblacional</t>
  </si>
  <si>
    <t>ADMINISTRAREN</t>
  </si>
  <si>
    <t>Tiempo de administración (Formato HHH:MM). Obligatorio si ADMINISTRACION = “F” (fluidoterapia) o “R” (transdérmica).</t>
  </si>
  <si>
    <t>VELOCIDAD</t>
  </si>
  <si>
    <t>DECIMAL (10, 3) &gt;= 0</t>
  </si>
  <si>
    <t>Velocidad de perfusión. Obligatorio si ADMINISTRACION = “F” (fluidoterapia).</t>
  </si>
  <si>
    <t>Medicamento - Links</t>
  </si>
  <si>
    <t>Descripción del enlace.</t>
  </si>
  <si>
    <t>LINK</t>
  </si>
  <si>
    <t>URL del enlace.</t>
  </si>
  <si>
    <t>ANCHO</t>
  </si>
  <si>
    <t>ENTERO &gt;0</t>
  </si>
  <si>
    <t>Ancho de la ventana de apertura del enlace.</t>
  </si>
  <si>
    <t>ALTO</t>
  </si>
  <si>
    <t>Alto de la ventana de apertura del enlace.</t>
  </si>
  <si>
    <t>ESPECIALIDAD — campos clínicos</t>
  </si>
  <si>
    <t>Nivel envase concreto de laboratorio. Solo se conserva lo que llega al prescriptor o afecta a la administración; el resto es compras/almacén.</t>
  </si>
  <si>
    <t>Especialidad - General</t>
  </si>
  <si>
    <t>IDESPECIALIDAD</t>
  </si>
  <si>
    <t>Identificador interno de la especialidad.</t>
  </si>
  <si>
    <t>Identificador de la especialidad en la aplicación externa.</t>
  </si>
  <si>
    <t>CODIGONACIONAL</t>
  </si>
  <si>
    <t>Código nacional de la especialidad.</t>
  </si>
  <si>
    <t>ALTIDPRES</t>
  </si>
  <si>
    <t>Identificador alternativo de prescripción de la especialidad.</t>
  </si>
  <si>
    <t>DESCRIPCIONPRESCRIP</t>
  </si>
  <si>
    <t>Descripción de prescripción de la especialidad.</t>
  </si>
  <si>
    <t>NEMONICOPRESCRIP</t>
  </si>
  <si>
    <t>Nemónico de prescripción de la especialidad.</t>
  </si>
  <si>
    <t>MEDICAMENTO - OBLIGATORIO</t>
  </si>
  <si>
    <t>ME_IDMEDICAME</t>
  </si>
  <si>
    <t>Identificador interno del medicamento asociado a la especialidad.</t>
  </si>
  <si>
    <t>ME_IDEXTERNO</t>
  </si>
  <si>
    <t>ME_DESCRIPCION</t>
  </si>
  <si>
    <t>Descripción del medicamento asociado a la especialidad.</t>
  </si>
  <si>
    <t>ME_ALTID</t>
  </si>
  <si>
    <t>Identificador alternativo del medicamento asociado a la especialidad.</t>
  </si>
  <si>
    <t>TIPO DE ESPECIALIDAD - OPCIONAL</t>
  </si>
  <si>
    <t>TEF_IDTIPESPEC</t>
  </si>
  <si>
    <t>Identificador interno del tipo de especialidad.</t>
  </si>
  <si>
    <t>Revisable según cómo se use el tipo de especialidad en vuestro maestro.</t>
  </si>
  <si>
    <t>TEF_IDEXTERNO</t>
  </si>
  <si>
    <t>Identificador del tipo de especialidad en la aplicación externa.</t>
  </si>
  <si>
    <t>TEF_CODIGO</t>
  </si>
  <si>
    <t>Código del tipo de especialidad.</t>
  </si>
  <si>
    <t>TEF_ALTID</t>
  </si>
  <si>
    <t>Identificador alternativo del tipo de especialidad.</t>
  </si>
  <si>
    <t>EXTRANJERO</t>
  </si>
  <si>
    <t>Indica si la especialidad es extranjera. Valores posibles: “S”: Sí. “N”: No.</t>
  </si>
  <si>
    <t>Clínico/regulatorio: medicamento extranjero, condiciona la prescripción.</t>
  </si>
  <si>
    <t>ENSAYOCLINICO</t>
  </si>
  <si>
    <t>Indica si la especialidad es de ensayo clínico. Valores posibles: “S”: Sí. “N”: No.</t>
  </si>
  <si>
    <t>Clínico/regulatorio: producto en ensayo clínico.</t>
  </si>
  <si>
    <t>MULTIDOSIS</t>
  </si>
  <si>
    <t>Indica si la especialidad es multidosis. Valores posibles: “S”: Sí. “N”: No.</t>
  </si>
  <si>
    <t>Clínico: condiciona estabilidad en uso y reutilización del envase.</t>
  </si>
  <si>
    <t>PERIODOVALIDEZ</t>
  </si>
  <si>
    <t>Periodo de validez de la especialidad una vez abierto el envase.</t>
  </si>
  <si>
    <t>Clínico: caducidad una vez abierto el envase.</t>
  </si>
  <si>
    <t>PERIODOVALIDEZUNI</t>
  </si>
  <si>
    <t>Unidades del periodo de validez: “H”: Horas. “D”: Días. “S”: Semanas. “M”: Meses “A”: Años.</t>
  </si>
  <si>
    <t>Clínico: unidad del periodo de validez tras apertura.</t>
  </si>
  <si>
    <t>Especialidad - Excipientes</t>
  </si>
  <si>
    <t>ESPECIALIDAD</t>
  </si>
  <si>
    <t>EXCIPIENTE</t>
  </si>
  <si>
    <t>EX_IDEXCIPIENTE</t>
  </si>
  <si>
    <t>Identificador interno del excipiente.</t>
  </si>
  <si>
    <t>Clave clínica: soporte de alergias e intolerancias a excipientes.</t>
  </si>
  <si>
    <t>EX_IDEXTERNO</t>
  </si>
  <si>
    <t>Identificador del excipiente en la aplicación externa.</t>
  </si>
  <si>
    <t>EX_ALTID</t>
  </si>
  <si>
    <t>Identificador alternativo del excipiente.</t>
  </si>
  <si>
    <t>EX_DESCRIPCION</t>
  </si>
  <si>
    <t>Descripción del excipiente.</t>
  </si>
  <si>
    <t>Cantidad de excipiente presente en la composición de la especialidad.</t>
  </si>
  <si>
    <t>UNIDAD - OBLIGATORIO - DEBE COINCIDIR CON LA UNIDAD DEL EXCIPIENTE</t>
  </si>
  <si>
    <t>ESPECIALIDAD — ¿se puede completar desde AEMPS?</t>
  </si>
  <si>
    <t>Evaluación campo a campo de los 33 campos conservados en la hoja Especialidad frente a dos fuentes distintas: el TEXTO de la ficha técnica (secciones 1-10) y el METADATO estructurado de CIMA (API REST v1.23, cima.aemps.es/cima/rest). No son lo mismo y la diferencia decide el proyecto.</t>
  </si>
  <si>
    <t>Bloque</t>
  </si>
  <si>
    <t>Cat.</t>
  </si>
  <si>
    <t>¿Completable desde AEMPS?</t>
  </si>
  <si>
    <t>Fuente concreta</t>
  </si>
  <si>
    <t>Esfuerzo</t>
  </si>
  <si>
    <t>Observación / riesgo</t>
  </si>
  <si>
    <t>General</t>
  </si>
  <si>
    <t>No</t>
  </si>
  <si>
    <t>—</t>
  </si>
  <si>
    <t>Identificador interno de vuestro sistema. AEMPS no interviene.</t>
  </si>
  <si>
    <t>Parcial – derivado</t>
  </si>
  <si>
    <t>CIMA: presentaciones[].cn</t>
  </si>
  <si>
    <t>Bajo</t>
  </si>
  <si>
    <t>Si adoptáis el CN como identificador externo, queda resuelto y trazable contra CIMA.</t>
  </si>
  <si>
    <t>Sí – directo</t>
  </si>
  <si>
    <t>NO está en el texto de la ficha técnica: es metadato de CIMA / Nomenclátor.</t>
  </si>
  <si>
    <t>CN</t>
  </si>
  <si>
    <t>Convención propia; lo habitual es reutilizar el CN.</t>
  </si>
  <si>
    <t>CIMA: presentaciones[].nombre o medicamento.nombre</t>
  </si>
  <si>
    <t>Medio</t>
  </si>
  <si>
    <t>El nombre de presentación incluye el formato del envase ('…, 28 cápsulas'). Decidir si el prescriptor lo ve. Riesgo de truncado en CHAR(100) en biológicos y combinaciones.</t>
  </si>
  <si>
    <t>Se genera con vuestras reglas de abreviatura.</t>
  </si>
  <si>
    <t>Enlace a vuestra entidad Medicamento; ID interno.</t>
  </si>
  <si>
    <t>CIMA: nregistro</t>
  </si>
  <si>
    <t>El nº de registro es el pivote natural: agrupa todas las presentaciones de un mismo medicamento.</t>
  </si>
  <si>
    <t>CIMA: nombre + dosis + formaFarmaceutica</t>
  </si>
  <si>
    <t>Reconstruible, pero ojo: el campo es CHAR(20) en el origen y no cabe una descripción real. Revisar la especificación.</t>
  </si>
  <si>
    <t>CIMA: nregistro o VMP</t>
  </si>
  <si>
    <t>El código VMP (SNOMED) es buen candidato si buscáis un id estándar.</t>
  </si>
  <si>
    <t>ID de vuestro maestro de tipos.</t>
  </si>
  <si>
    <t>Depende del maestro.</t>
  </si>
  <si>
    <t>CIMA: generico, biosimilar, huerfano, ema, triangulo, nosustituible, receta, cpresc, estupefaciente/psicotropo</t>
  </si>
  <si>
    <t>CIMA no da un 'tipo de especialidad' único: da banderas. Mapeables a vuestro maestro, pero la equivalencia la definís vosotros. cpresc aporta uso hospitalario / diagnóstico hospitalario / especial control médico.</t>
  </si>
  <si>
    <t>Ausencia en CIMA</t>
  </si>
  <si>
    <t>CIMA solo contiene lo autorizado en España: un extranjero se detecta porque NO está. La fuente real es la aplicación de Medicamentos en Situaciones Especiales, que no publica ficha técnica española.</t>
  </si>
  <si>
    <t>Un producto en investigación no tiene ficha técnica. Su fuente es el protocolo del ensayo y vuestro servicio de farmacia.</t>
  </si>
  <si>
    <t>Sí – texto FT</t>
  </si>
  <si>
    <t>FT 6.5 (envase) + 6.3 + nombre presentación</t>
  </si>
  <si>
    <t>Alto</t>
  </si>
  <si>
    <t>No existe como campo. Se infiere de texto libre: vial multidosis, jarabe, colirio, pluma precargada. Requiere reglas o revisión manual.</t>
  </si>
  <si>
    <t>FT 6.3 Periodo de validez</t>
  </si>
  <si>
    <t>El campo pide validez TRAS ABRIR el envase. La sección 6.3 la declara solo cuando aplica (multidosis, reconstituidos, diluidos). En sólidos orales normalmente no existe y quedará vacío: es correcto, no es un hueco.</t>
  </si>
  <si>
    <t>FT 6.3</t>
  </si>
  <si>
    <t>Normalizar expresiones libres a H/D/S/M/A: '24 horas', '28 días', '6 semanas'.</t>
  </si>
  <si>
    <t>CIMA: estado.aut/susp/rev + comerc</t>
  </si>
  <si>
    <t>Además registroCambios permite mantenerlo al día por fecha.</t>
  </si>
  <si>
    <t>Excipientes</t>
  </si>
  <si>
    <t>Igual que en General.</t>
  </si>
  <si>
    <t>CIMA: cn</t>
  </si>
  <si>
    <t>OJO: los excipientes cuelgan del nº de registro, no del CN. Hay que replicar la lista en todas las presentaciones del registro.</t>
  </si>
  <si>
    <t>ID de vuestro maestro de excipientes.</t>
  </si>
  <si>
    <t>CIMA: excipientes[].id</t>
  </si>
  <si>
    <t>CIMA da un id numérico estable por excipiente. Sirve para construir el maestro y para cruzarlo con vuestras alergias.</t>
  </si>
  <si>
    <t>No hay código estándar de excipiente en CIMA (ni SNOMED ni E-number sistemático).</t>
  </si>
  <si>
    <t>CIMA: excipientes[].nombre</t>
  </si>
  <si>
    <t>El campo es CHAR(20) y los nombres reales son mucho más largos ('HIDROGENOCARBONATO DE SODIO' = 27). La especificación se queda corta.</t>
  </si>
  <si>
    <t>CIMA: excipientes[].cantidad</t>
  </si>
  <si>
    <t>Viene como texto y con coma decimal ('1242,0'). Parsear a DECIMAL(10,3). No siempre está informada.</t>
  </si>
  <si>
    <t>ID de vuestro maestro de unidades.</t>
  </si>
  <si>
    <t>CIMA: excipientes[].unidad</t>
  </si>
  <si>
    <t>Texto libre ('mg', 'ml', 'microgramos'). Necesita tabla de equivalencias contra vuestro maestro de unidades.</t>
  </si>
  <si>
    <t>Recuento</t>
  </si>
  <si>
    <t>TOTAL</t>
  </si>
  <si>
    <t>Cuatro cosas que conviene decidir antes de empezar</t>
  </si>
  <si>
    <t>Desajuste de granularidad</t>
  </si>
  <si>
    <t>La ficha técnica y los excipientes son por Nº DE REGISTRO (medicamento autorizado); vuestra Especialidad es por CÓDIGO NACIONAL (presentación). Un registro tiene N presentaciones, así que todo lo heredado de la FT se replica idéntico en todas ellas. Ejemplo real: nregistro 51347 (Aspirina C) → 2 códigos nacionales, una sola ficha técnica.</t>
  </si>
  <si>
    <t>La lista de excipientes de CIMA está incompleta</t>
  </si>
  <si>
    <t>CIMA expone solo los excipientes de declaración obligatoria, no la sección 6.1 completa. Se nota en el campo 'orden', que salta: en el ejemplo anterior devuelve 3 excipientes con orden 1, 2 y 9. Para la lista íntegra hay que parsear el texto de la 6.1, que además es CUALITATIVA (sin cantidades).</t>
  </si>
  <si>
    <t>Pero la cobertura funcional es mejor que la nominal</t>
  </si>
  <si>
    <t>Los excipientes de declaración obligatoria son precisamente los que generan alerta clínica (lactosa, sodio, aspartamo, alcohol bencílico, sulfitos…). Para alimentar alergias e intolerancias, lo que da CIMA es suficiente; la sección 6.1 completa aportaría sobre todo ruido.</t>
  </si>
  <si>
    <t>El documento de ficha técnica aporta muy poco a esta hoja</t>
  </si>
  <si>
    <t>De los 33 campos, solo 3 salen del texto (validez tras apertura y multidosis, secciones 6.3 y 6.5). Todo lo demás que sí es automatizable viene del metadato estructurado de CIMA, no del PDF. Si el plan era leer fichas técnicas, conviene invertirlo: API primero, texto solo para esos tres.</t>
  </si>
  <si>
    <t>Mantenimiento</t>
  </si>
  <si>
    <t>El endpoint registroCambios devuelve altas, bajas y modificaciones desde una fecha, marcando si el cambio afectó a la ficha técnica, al estado o a la comercialización. Es lo que permite que esto no sea una carga única.</t>
  </si>
  <si>
    <t>ESPECIALIDAD — fuente de origen recomendada, campo a campo</t>
  </si>
  <si>
    <t>Misma comprobación que la hoja anterior, pero sin dar por supuesta la fuente. Conclusión: para esta entidad la fuente correcta NO es una base de datos externa — es vuestro propio catálogo. Lo externo cubre un bloque y solo uno: los excipientes.</t>
  </si>
  <si>
    <t>Fuente recomendada</t>
  </si>
  <si>
    <t>Fuente de contraste</t>
  </si>
  <si>
    <t>Cob.</t>
  </si>
  <si>
    <t>Por qué esa fuente</t>
  </si>
  <si>
    <t>Catálogo actual</t>
  </si>
  <si>
    <t>100%</t>
  </si>
  <si>
    <t>Es vuestra clave primaria. Migrarla, no reinventarla: cualquier histórico de prescripción, consumo o trazabilidad cuelga de ella.</t>
  </si>
  <si>
    <t>Identificador del sistema de origen. Es literalmente el campo que existe para no perder la trazabilidad de la migración.</t>
  </si>
  <si>
    <t>Ya lo tenéis, y filtrado a lo que realmente manejáis. CIMA sirve para VALIDARLO, no para poblarlo: si cargáis desde CIMA os traéis las ~23.000 presentaciones de España en vez de vuestro catálogo.</t>
  </si>
  <si>
    <t>Convención propia ya establecida.</t>
  </si>
  <si>
    <t>CIMA: nombre</t>
  </si>
  <si>
    <t>95%</t>
  </si>
  <si>
    <t>ARGUMENTO DE SEGURIDAD: vuestros prescriptores reconocen las descripciones actuales. Sustituirlas en bloque por las de CIMA introduce riesgo de selección errónea el primer día. Migrar y normalizar después.</t>
  </si>
  <si>
    <t>Regla propia de abreviatura ya en uso.</t>
  </si>
  <si>
    <t>La agrupación especialidad→medicamento ya existe en vuestro catálogo; es una decisión de modelo, no un dato externo.</t>
  </si>
  <si>
    <t>Enlace del sistema de origen.</t>
  </si>
  <si>
    <t>Ídem. Revisar antes el CHAR(20) de la especificación.</t>
  </si>
  <si>
    <t>CIMA: nregistro / VMP</t>
  </si>
  <si>
    <t>Si queréis un id estándar para el futuro, el VMP de CIMA es el candidato.</t>
  </si>
  <si>
    <t>Maestro propio.</t>
  </si>
  <si>
    <t>CIMA: generico/biosimilar/huerfano/ema/cpresc</t>
  </si>
  <si>
    <t>90%</t>
  </si>
  <si>
    <t>Vuestro maestro ya clasifica. CIMA sirve para auditar la clasificación y detectar los que están mal tipificados.</t>
  </si>
  <si>
    <t>BOT PLUS (medicamentos extranjeros)</t>
  </si>
  <si>
    <t>Vosotros sabéis qué importáis: es un dato de gestión del propio servicio de farmacia, no de un catálogo externo.</t>
  </si>
  <si>
    <t>Sin fuente externa posible. La unidad de ensayos clínicos es la única que lo sabe.</t>
  </si>
  <si>
    <t>Curación manual</t>
  </si>
  <si>
    <t>Catálogo actual + FT 6.5</t>
  </si>
  <si>
    <t>Parcial</t>
  </si>
  <si>
    <t>Ninguna base lo codifica como campo. Acotarlo: viales, colirios, jarabes, plumas, inhaladores. Son cientos, no miles.</t>
  </si>
  <si>
    <t>Ni CIMA ni BOT PLUS codifican la validez TRAS APERTURA como campo estructurado (BOT PLUS codifica conservación ANTES de abrir). Es el único hueco real de esta hoja.</t>
  </si>
  <si>
    <t>Ídem, normalizando a H/D/S/M/A.</t>
  </si>
  <si>
    <t>CIMA: estado + comerc + registroCambios</t>
  </si>
  <si>
    <t>Carga inicial desde vuestro catálogo; MANTENIMIENTO desde CIMA, que es donde esto aporta valor real y continuado.</t>
  </si>
  <si>
    <t>Clave heredada.</t>
  </si>
  <si>
    <t>CIMA</t>
  </si>
  <si>
    <t>Es el campo de cruce: por CN vais a CIMA, obtenéis el nregistro y de ahí los excipientes.</t>
  </si>
  <si>
    <t>0% hoy</t>
  </si>
  <si>
    <t>Probablemente NO tenéis maestro de excipientes: hay que crearlo. Construirlo con los ids de CIMA lo hace mantenible.</t>
  </si>
  <si>
    <t>CIMA (API)</t>
  </si>
  <si>
    <t>BOT PLUS</t>
  </si>
  <si>
    <t>id numérico estable de CIMA. Gratis, oficial y con feed de cambios.</t>
  </si>
  <si>
    <t>Libre; útil para colgar el código de vuestra tabla de alergias.</t>
  </si>
  <si>
    <t>Nombre normalizado. Recordad que el campo es CHAR(20) y no cabe.</t>
  </si>
  <si>
    <t>~90%</t>
  </si>
  <si>
    <t>cantidad + unidad como texto. Parsear coma decimal. BOT PLUS aporta lo mismo, ya normalizado, si tenéis licencia.</t>
  </si>
  <si>
    <t>Maestro de unidades, ya existente.</t>
  </si>
  <si>
    <t>Maestro propio</t>
  </si>
  <si>
    <t>unidad viene como texto ('mg','ml','microgramos'): necesita tabla de equivalencias contra vuestro maestro.</t>
  </si>
  <si>
    <t>Reparto de los 33 campos</t>
  </si>
  <si>
    <t>Base comercial</t>
  </si>
  <si>
    <t>Fuentes evaluadas</t>
  </si>
  <si>
    <t>Fuente</t>
  </si>
  <si>
    <t>Lo que aporta</t>
  </si>
  <si>
    <t>Lo que no cubre</t>
  </si>
  <si>
    <t>Veredicto para esta hoja</t>
  </si>
  <si>
    <t>Vuestro catálogo actual</t>
  </si>
  <si>
    <t>Todos los identificadores internos, los enlaces entre entidades, las descripciones que el prescriptor ya reconoce, y el filtro esencial: solo lo que realmente manejáis.</t>
  </si>
  <si>
    <t>No tiene excipientes codificados (casi ningún catálogo hospitalario los tiene) ni validez tras apertura.</t>
  </si>
  <si>
    <t>FUENTE PRIMARIA de esta hoja.</t>
  </si>
  <si>
    <t>CIMA – API REST (AEMPS)</t>
  </si>
  <si>
    <t>Gratuita, oficial, JSON, con excipientes de declaración obligatoria cuantificados e id estable, y endpoint registroCambios para mantenimiento.</t>
  </si>
  <si>
    <t>Cubre toda España, no vuestro catálogo. No codifica validez tras apertura ni multidosis. No tiene extranjeros ni ensayos.</t>
  </si>
  <si>
    <t>COMPLEMENTO para el bloque de excipientes y para el mantenimiento del estado.</t>
  </si>
  <si>
    <t>BOT PLUS integración (CGCOF)</t>
  </si>
  <si>
    <t>Servicios web pensados para integrarse en sistemas hospitalarios. Cubre uso hospitalario, envases clínicos y extranjeros. Aporta interacciones, enfermedades y mensajes de advertencia ya codificados.</t>
  </si>
  <si>
    <t>Licencia de pago. Para ESTA hoja aporta poco sobre CIMA: la composición codificada son los mismos excipientes de declaración obligatoria (Circular 1/2018) extraídos de las mismas fichas técnicas.</t>
  </si>
  <si>
    <t>NO se justifica por la hoja Especialidad. Se justifica por Transversales y Principio Activo.</t>
  </si>
  <si>
    <t>Texto de la ficha técnica (PDF/HTML)</t>
  </si>
  <si>
    <t>Única fuente de la validez tras apertura (6.3) y de las pistas de multidosis (6.5).</t>
  </si>
  <si>
    <t>Prosa libre, por nº de registro y no por CN. Parsearla a escala es caro y frágil.</t>
  </si>
  <si>
    <t>USO ACOTADO: consulta puntual sobre el subconjunto que lo necesita.</t>
  </si>
  <si>
    <t>Nomenclátor de facturación del SNS</t>
  </si>
  <si>
    <t>Mensual, por código nacional, con precios y agrupaciones homogéneas.</t>
  </si>
  <si>
    <t>Su alcance es la prestación farmacéutica por receta. Deja fuera buena parte de lo hospitalario y no aporta nada clínico de esta hoja.</t>
  </si>
  <si>
    <t>DESCARTADA para este uso.</t>
  </si>
  <si>
    <t>Recomendación</t>
  </si>
  <si>
    <t>1. Migrad, no reconstruyáis</t>
  </si>
  <si>
    <t>26 de los 33 campos salen de vuestro catálogo actual. Un proyecto planteado como 'poblar desde una base externa' invierte el esfuerzo y añade riesgo clínico donde no lo había.</t>
  </si>
  <si>
    <t>2. CIMA para el único bloque que os falta</t>
  </si>
  <si>
    <t>Los excipientes son el hueco real, y CIMA lo cubre gratis, por API, con id estable y con cantidad. Cruce por CN → nregistro → excipientes, replicando en todas las presentaciones del registro.</t>
  </si>
  <si>
    <t>3. No compréis base de datos por esta hoja</t>
  </si>
  <si>
    <t>BOT PLUS aporta sobre CIMA lo mismo en composición (los mismos excipientes de declaración obligatoria, de las mismas fichas técnicas). La decisión de licenciar debe tomarse mirando Transversales (interacciones, alergias, enfermedades) y las dosis máximas del Principio Activo, no la Especialidad.</t>
  </si>
  <si>
    <t>4. Acotad la curación manual</t>
  </si>
  <si>
    <t>Validez tras apertura y multidosis no están codificados en ninguna fuente. Priorizad: refrigerados, viales multidosis, reconstituidos y colirios. Todo lo demás puede quedar vacío sin pérdida clínica.</t>
  </si>
  <si>
    <t>5. Poned el mantenimiento en el plan desde el día uno</t>
  </si>
  <si>
    <t>registroCambios de CIMA avisa de altas, bajas y modificaciones por fecha, indicando si cambió la ficha técnica, el estado o la comercialización. Sin esto, la carga nace caducando.</t>
  </si>
  <si>
    <t>TODO EL MODELO EVALUADO CONTRA UNA SOLA FUENTE: EL TEXTO DE LA FICHA TÉCNICA</t>
  </si>
  <si>
    <t>Sin CIMA como API, sin catálogo propio, sin base comercial. Solo las secciones 1 a 10 del documento autorizado. Se evalúan los 353 campos conservados de las cuatro entidades.</t>
  </si>
  <si>
    <t>Bloque origen</t>
  </si>
  <si>
    <t>¿Desde la FT?</t>
  </si>
  <si>
    <t>Sección FT</t>
  </si>
  <si>
    <t>Comentario</t>
  </si>
  <si>
    <t>Identificador interno o de vuestros maestros: fuera del alcance de una ficha técnica.</t>
  </si>
  <si>
    <t>5.1</t>
  </si>
  <si>
    <t>Si usáis el ATC como identificador alternativo, como en el ejemplo.</t>
  </si>
  <si>
    <t>2</t>
  </si>
  <si>
    <t>Nombre del principio activo.</t>
  </si>
  <si>
    <t>La FT declara el código ATC de forma explícita.</t>
  </si>
  <si>
    <t>4.2 + 4.3</t>
  </si>
  <si>
    <t>El mejor encaje de todo el modelo: es literalmente posología más contraindicaciones, que es lo que contiene el ejemplo del fichero.</t>
  </si>
  <si>
    <t>5.1 / 6.6</t>
  </si>
  <si>
    <t>Se deduce del ATC (grupo L01) y de las precauciones de manipulación de citotóxicos.</t>
  </si>
  <si>
    <t>Nivel 4 del ATC.</t>
  </si>
  <si>
    <t>Unidad de la composición cuantitativa.</t>
  </si>
  <si>
    <t>Sí – interpretación</t>
  </si>
  <si>
    <t>4.2</t>
  </si>
  <si>
    <t>La FT da posología recomendada, no techo de seguridad. Convertir '20-40 mg/día' en un máximo es criterio farmacéutico, no transcripción.</t>
  </si>
  <si>
    <t>La dosificación por superficie corporal solo se usa en oncología y algunos pediátricos.</t>
  </si>
  <si>
    <t>La FT no dosifica por kilo en adulto ni geriátrico salvo excepciones.</t>
  </si>
  <si>
    <t>Solo en fármacos con duración de ciclo limitada (pautas cortas, antibióticos, corticoides). En la mayoría no aparece.</t>
  </si>
  <si>
    <t>La dosis acumulada de por vida solo se declara en antraciclinas, bleomicina y poco más. Para el resto no existe.</t>
  </si>
  <si>
    <t>Solo si el medicamento tiene indicación autorizada en pediátrico; si no, la FT dice que no se ha establecido y el campo queda vacío.</t>
  </si>
  <si>
    <t>La posología pediátrico por kilo aparece solo si el medicamento está autorizado en ese grupo.</t>
  </si>
  <si>
    <t>Solo si el medicamento tiene indicación autorizada en lactante; si no, la FT dice que no se ha establecido y el campo queda vacío.</t>
  </si>
  <si>
    <t>La posología lactante por kilo aparece solo si el medicamento está autorizado en ese grupo.</t>
  </si>
  <si>
    <t>Solo si el medicamento tiene indicación autorizada en neonato; si no, la FT dice que no se ha establecido y el campo queda vacío.</t>
  </si>
  <si>
    <t>La posología neonato por kilo aparece solo si el medicamento está autorizado en ese grupo.</t>
  </si>
  <si>
    <t>1 / 2</t>
  </si>
  <si>
    <t>Nombre heredado de la entidad padre.</t>
  </si>
  <si>
    <t>Hay que traducir prosa ('una vez al día', 'cada 8 horas') a vuestros códigos de frecuencia.</t>
  </si>
  <si>
    <t>4.2 / 1</t>
  </si>
  <si>
    <t>Vías de administración autorizadas.</t>
  </si>
  <si>
    <t>Sin correspondencia en el documento.</t>
  </si>
  <si>
    <t>3</t>
  </si>
  <si>
    <t>Se deduce de las poblaciones para las que la FT autoriza el medicamento.</t>
  </si>
  <si>
    <t>4.2 + 6.6 + 6.3</t>
  </si>
  <si>
    <t>Segundo mejor encaje: 'con el estómago vacío', 'diluir en 100 ml y pasar en 20-30 min', estabilidad tras dilución. Todo está, repartido en tres secciones.</t>
  </si>
  <si>
    <t>La FT no gradúa la alerta.</t>
  </si>
  <si>
    <t>PUNTO CRÍTICO: la 4.4 dice 'vigilar la función renal', no da el valor numérico de corte. Este bloque no se puede poblar desde fichas técnicas.</t>
  </si>
  <si>
    <t>Ídem: no hay umbral que comparar.</t>
  </si>
  <si>
    <t>4.4</t>
  </si>
  <si>
    <t>El texto de la advertencia sí está; el umbral no.</t>
  </si>
  <si>
    <t>1</t>
  </si>
  <si>
    <t>Nombre, dosis y forma farmacéutica.</t>
  </si>
  <si>
    <t>Se deduce de la forma farmacéutica.</t>
  </si>
  <si>
    <t>4.2 / 5.2</t>
  </si>
  <si>
    <t>Solo parches transdérmicos.</t>
  </si>
  <si>
    <t>6.6 / 4.2</t>
  </si>
  <si>
    <t>Solo si la FT fija el volumen de dilución.</t>
  </si>
  <si>
    <t>2 / 4.2</t>
  </si>
  <si>
    <t>Se deduce de la obligación de diluir o reconstituir.</t>
  </si>
  <si>
    <t>La 4.2 tiene apartado de insuficiencia renal.</t>
  </si>
  <si>
    <t>La 4.2 tiene apartado de insuficiencia hepática.</t>
  </si>
  <si>
    <t>Es política del centro, no del medicamento.</t>
  </si>
  <si>
    <t>La 4.2 declara explícitamente en qué poblaciones está o no autorizado.</t>
  </si>
  <si>
    <t>Composición cuantitativa, exacta y sin ambigüedad.</t>
  </si>
  <si>
    <t>4.1</t>
  </si>
  <si>
    <t>El texto está, pero hay que codificarlo contra vuestro maestro de indicaciones.</t>
  </si>
  <si>
    <t>4.2 / 6.6</t>
  </si>
  <si>
    <t>Solo perfusiones y transdérmicos.</t>
  </si>
  <si>
    <t>La 4.2 se estructura por poblaciones especiales: es el mismo eje que pide el campo.</t>
  </si>
  <si>
    <t>Dosis por defecto por grupo poblacional: es exactamente lo que dice la 4.2.</t>
  </si>
  <si>
    <t>Se deduce de cómo exprese la dosis (absoluta, por kg, por m2).</t>
  </si>
  <si>
    <t>4.2 / 2</t>
  </si>
  <si>
    <t>Solo si necesitáis equivalencia entre unidad de dosis y de administración.</t>
  </si>
  <si>
    <t>Calculable desde la composición.</t>
  </si>
  <si>
    <t>Solo fluidoterapia.</t>
  </si>
  <si>
    <t>El enlace ES la ficha técnica.</t>
  </si>
  <si>
    <t>URL del documento en CIMA.</t>
  </si>
  <si>
    <t>La FT NO contiene el código nacional. Su apartado 8 da el número de autorización de comercialización, que es otra cosa.</t>
  </si>
  <si>
    <t>Ojo: el apartado 1 nombra el medicamento, no la presentación. No distingue envases.</t>
  </si>
  <si>
    <t>Las condiciones de dispensación no van en el cuerpo de la FT.</t>
  </si>
  <si>
    <t>Un extranjero no tiene ficha técnica española.</t>
  </si>
  <si>
    <t>Un producto en investigación no tiene ficha técnica.</t>
  </si>
  <si>
    <t>6.5</t>
  </si>
  <si>
    <t>Se infiere del contenido del envase, en prosa.</t>
  </si>
  <si>
    <t>6.3</t>
  </si>
  <si>
    <t>AQUÍ la ficha técnica gana a todo lo demás: es la única fuente de la validez tras apertura, aunque solo la declare cuando aplica.</t>
  </si>
  <si>
    <t>Normalizar 'horas / días / semanas' a vuestro código.</t>
  </si>
  <si>
    <t>6.1</t>
  </si>
  <si>
    <t>VENTAJA sobre CIMA: la 6.1 lista TODOS los excipientes, no solo los de declaración obligatoria.</t>
  </si>
  <si>
    <t>La 6.1 es solo cualitativa. La cantidad únicamente aparece, y en el apartado 2, para los excipientes de efecto conocido.</t>
  </si>
  <si>
    <t>Igual que la cantidad.</t>
  </si>
  <si>
    <t>Grupo Terapéutico</t>
  </si>
  <si>
    <t>IDGRUPTERA</t>
  </si>
  <si>
    <t>CODIGO</t>
  </si>
  <si>
    <t>ATC.</t>
  </si>
  <si>
    <t>Descripción del grupo ATC.</t>
  </si>
  <si>
    <t>Alergias</t>
  </si>
  <si>
    <t>IDALERGIA</t>
  </si>
  <si>
    <t>CODIGOPROPIO</t>
  </si>
  <si>
    <t>4.3</t>
  </si>
  <si>
    <t>La FT menciona hipersensibilidades, pero no define un maestro de alergias.</t>
  </si>
  <si>
    <t>DESCRIPCIONBREVE</t>
  </si>
  <si>
    <t>TIPO</t>
  </si>
  <si>
    <t>CODIGOSNOMED</t>
  </si>
  <si>
    <t>Terminología externa.</t>
  </si>
  <si>
    <t>CODIGOATC</t>
  </si>
  <si>
    <t>CODIGOCIM10</t>
  </si>
  <si>
    <t>Enf.Congénita</t>
  </si>
  <si>
    <t>IDENFCONGEN</t>
  </si>
  <si>
    <t>Es un maestro de estados del paciente, no del medicamento. La FT no lo contiene.</t>
  </si>
  <si>
    <t>Enf.Crónica</t>
  </si>
  <si>
    <t>IDENFCRONI</t>
  </si>
  <si>
    <t>Est. Riesgo</t>
  </si>
  <si>
    <t>IDESTRIESGO</t>
  </si>
  <si>
    <t>Intolerancia</t>
  </si>
  <si>
    <t>IDINTOLER</t>
  </si>
  <si>
    <t>Interacciones</t>
  </si>
  <si>
    <t>IDINTERACC</t>
  </si>
  <si>
    <t>EL_TIPO</t>
  </si>
  <si>
    <t>CHAR(3)</t>
  </si>
  <si>
    <t>4.5</t>
  </si>
  <si>
    <t>EL_IDINTERNO</t>
  </si>
  <si>
    <t>EL_IDEXTERNO</t>
  </si>
  <si>
    <t>EL_CODIGO</t>
  </si>
  <si>
    <t>La 4.5 es narrativa y unidireccional: solo recoge lo que el titular decidió incluir. No sirve para construir una matriz bidireccional.</t>
  </si>
  <si>
    <t>EL_ALTID</t>
  </si>
  <si>
    <t>EL_ALTID2</t>
  </si>
  <si>
    <t>IC_TIPO</t>
  </si>
  <si>
    <t>IC_IDINTERNO</t>
  </si>
  <si>
    <t>IC_IDEXTERNO</t>
  </si>
  <si>
    <t>IC_CODIGO</t>
  </si>
  <si>
    <t>IC_ALTID</t>
  </si>
  <si>
    <t>IC_ALTID2</t>
  </si>
  <si>
    <t>Interacciones - GP</t>
  </si>
  <si>
    <t>NEONATO</t>
  </si>
  <si>
    <t>La FT no estratifica las interacciones por grupo poblacional.</t>
  </si>
  <si>
    <t>LACTANTE</t>
  </si>
  <si>
    <t>PEDIATRICO</t>
  </si>
  <si>
    <t>ADULTO</t>
  </si>
  <si>
    <t>GERIATRICO</t>
  </si>
  <si>
    <t>La 4.5 narra la interacción pero no la gradúa en alta/media/baja.</t>
  </si>
  <si>
    <t>El texto sí; la estructura no.</t>
  </si>
  <si>
    <t>Aprovechamiento por bloque</t>
  </si>
  <si>
    <t>Campos</t>
  </si>
  <si>
    <t>Sí – interpret.</t>
  </si>
  <si>
    <t>% utilizable (todos)</t>
  </si>
  <si>
    <t>Campos clínicos</t>
  </si>
  <si>
    <t>% utilizable (solo clínicos)</t>
  </si>
  <si>
    <t>Lectura</t>
  </si>
  <si>
    <t>La ficha técnica es un documento clínico, no un catálogo</t>
  </si>
  <si>
    <t>Por eso rinde altísimo en Medicamento – Info prescripción y en Principio activo – Consejos, y casi cero en Especialidad. La 4.2 está literalmente estructurada por grupo poblacional, que es el mismo eje que pide vuestro modelo.</t>
  </si>
  <si>
    <t>El apartado 4.2 sostiene medio proyecto</t>
  </si>
  <si>
    <t>Dosis por defecto, frecuencias, vías, ajuste renal y hepático, poblaciones autorizadas y buena parte de los consejos salen todos de ahí. Si hay que priorizar una sola sección para extracción estructurada, es esa.</t>
  </si>
  <si>
    <t>Las dosis máximas no se extraen: se deciden</t>
  </si>
  <si>
    <t>La FT da posología recomendada; vuestro campo pide un techo de seguridad. En vuestro propio ejemplo, OMEPRAZOL declara 20-40 mg/día habituales y el fichero fija ADUDOMAXDIA = 80. Eso no es transcripción, es criterio farmacéutico, y debe quedar firmado por quien lo asume.</t>
  </si>
  <si>
    <t>Dos bloques quedan fuera del alcance</t>
  </si>
  <si>
    <t>Los rangos analíticos (VALORCORTE) y las interacciones graduadas. La 4.4 dice 'vigilar la función renal' sin dar umbral, y la 4.5 es narrativa, unidireccional y sin gravedad. Ninguna cantidad de esfuerzo de extracción arregla eso: el dato no está escrito.</t>
  </si>
  <si>
    <t>Donde la ficha técnica gana a CIMA</t>
  </si>
  <si>
    <t>En los excipientes, la 6.1 lista TODOS, no solo los de declaración obligatoria; y la validez tras apertura de la 6.3 no existe en ninguna base estructurada. Son los dos únicos sitios donde leer el documento aporta algo que la API no da.</t>
  </si>
  <si>
    <t>ESTIMACIÓN DE ESFUERZO FARMACÉUTICO</t>
  </si>
  <si>
    <t>PARÁMETROS DE ENTRADA</t>
  </si>
  <si>
    <t>Nº de principios activos en guía</t>
  </si>
  <si>
    <t>Nº de medicamentos prescribibles</t>
  </si>
  <si>
    <t>Nº de especialidades (envases con CN)</t>
  </si>
  <si>
    <t>% de PA complejos / alto riesgo</t>
  </si>
  <si>
    <t>Citostáticos, anticoagulantes, aminoglucósidos, opioides, insulinas, electrolitos concentrados.</t>
  </si>
  <si>
    <t>% de PA estándar</t>
  </si>
  <si>
    <t>% de PA simples</t>
  </si>
  <si>
    <t>Minutos por PA complejo</t>
  </si>
  <si>
    <t>Dosis máximas por 5 grupos poblacionales, consejos por vía, monitorización analítica, doble lectura.</t>
  </si>
  <si>
    <t>Minutos por PA estándar</t>
  </si>
  <si>
    <t>Minutos por PA simple</t>
  </si>
  <si>
    <t>Minutos por medicamento</t>
  </si>
  <si>
    <t>Incluye la hoja Info prescripción: 5 filas por medicamento, una por grupo poblacional.</t>
  </si>
  <si>
    <t>Minutos por especialidad (media)</t>
  </si>
  <si>
    <t>Horas de construcción de maestros</t>
  </si>
  <si>
    <t>Excipientes, unidades, alergias, intolerancias, enfermedades y estados de riesgo. Coste único, no por registro.</t>
  </si>
  <si>
    <t>% de revisión cruzada (segundo lector)</t>
  </si>
  <si>
    <t>% de coordinación, reuniones y correcciones</t>
  </si>
  <si>
    <t>Coste/hora de farmacéutico (€, coste empresa)</t>
  </si>
  <si>
    <t>Horas productivas por FTE y año</t>
  </si>
  <si>
    <t>Comprobación: los tres % de PA deben sumar 100%</t>
  </si>
  <si>
    <t>CÁLCULO</t>
  </si>
  <si>
    <t>Horas · Principio Activo</t>
  </si>
  <si>
    <t>Horas · Medicamento</t>
  </si>
  <si>
    <t>Horas · Especialidad</t>
  </si>
  <si>
    <t>Horas · Maestros transversales</t>
  </si>
  <si>
    <t>Subtotal horas</t>
  </si>
  <si>
    <t>Horas · revisión cruzada</t>
  </si>
  <si>
    <t>Horas · coordinación</t>
  </si>
  <si>
    <t>TOTAL HORAS DE FARMACÉUTICO</t>
  </si>
  <si>
    <t>Coste estimado (€)</t>
  </si>
  <si>
    <t>Equivalente en FTE-año</t>
  </si>
  <si>
    <t>CALENDARIO (meses de trabajo)</t>
  </si>
  <si>
    <t>1 farmacéutico a dedicación plena</t>
  </si>
  <si>
    <t>2 farmacéuticos a dedicación plena</t>
  </si>
  <si>
    <t>TRANSVERSALES — campos clínicos</t>
  </si>
  <si>
    <t>Maestros y reglas de alerta que cruzan las tres entidades: grupo terapéutico, alergias, intolerancias, patologías, estados de riesgo e interacciones.</t>
  </si>
  <si>
    <t>Identificador interno del registro.</t>
  </si>
  <si>
    <t>Identificador del registro en la aplicación externa.</t>
  </si>
  <si>
    <t>Código.</t>
  </si>
  <si>
    <t>Id alternativo del registro.</t>
  </si>
  <si>
    <t>Descripción.</t>
  </si>
  <si>
    <t>Descripción breve.</t>
  </si>
  <si>
    <t>Tipo de alergia (texto libre)</t>
  </si>
  <si>
    <t>Código SNOMED.</t>
  </si>
  <si>
    <t>Código CIM10.</t>
  </si>
  <si>
    <t>ELEMENTO</t>
  </si>
  <si>
    <t>Tipo del elemento principal de la interacción. Valores posibles: - “A”: Alergia - “I”: Intolerancia - “ECR”: Enf. Crónica - “EC”: Enf. Congénita - “ER”: Estado de Riesgo - “PA”: Principio Activo - “M”: Medicamento - “GT”: Grupo Terapéutico - “EX”: Excipiente Según este TIPO, el elemento podrá referirse a registros de diferentes maestros. Por tanto el TIPO se tendrá en cuenta como dato de localización del registro.</t>
  </si>
  <si>
    <t>Identificador interno del elemento</t>
  </si>
  <si>
    <t>Identificador del elemento en la aplicación externa.</t>
  </si>
  <si>
    <t>Código del elemento. (*Equivale a la descripción en el caso de un elemento de tipo “Excipiente”, “Principio activo” o “Medicamento”)</t>
  </si>
  <si>
    <t>Identificador alternativo del elemento.</t>
  </si>
  <si>
    <t>Identificador alternativo 2 del elemento.</t>
  </si>
  <si>
    <t>INTERACCIONA CON</t>
  </si>
  <si>
    <t>Indica si el grupo poblacional neonato está afectado. Valores posibles: “S”: Sí “N”: No</t>
  </si>
  <si>
    <t>Nivel de gravedad. Valores posibles: "A": Alta "M": Media "B": Baja</t>
  </si>
  <si>
    <t>Observaciones específicas de la intereacción para el conjunto de grupos poblacionales.</t>
  </si>
  <si>
    <t>CAMPOS EXCLUIDOS — gestión logística y económica</t>
  </si>
  <si>
    <t>Campos presentes en el fichero origen que se han apartado por ser de compras, almacén, dispensación, facturación o presentación. Se listan para que la exclusión sea revisable.</t>
  </si>
  <si>
    <t>DISPHDIAPRESCLIBRE</t>
  </si>
  <si>
    <t>Indica que la especialidad está disponible para la prescripción libre en HDIA. Valores posibles: “S”: Sí “N”: No</t>
  </si>
  <si>
    <t>RESERVA</t>
  </si>
  <si>
    <t>CHAR(5)</t>
  </si>
  <si>
    <t>Tiempo de reserva para el caso de prescripción libre HDIA. Valores posibles: tiempo entre 00:00 y 23:59 * (Obligatorio solo si DISPHDIAPRESCLBRE = 'S')</t>
  </si>
  <si>
    <t>CONDICIONES DE CONSERVACIÓN - OPCIONAL</t>
  </si>
  <si>
    <t>CC_IDCONDCONS</t>
  </si>
  <si>
    <t>Identificador interno de la condición de conservación.</t>
  </si>
  <si>
    <t>Revisable: conservación es almacén, pero puede mostrarse al administrar.</t>
  </si>
  <si>
    <t>CC_IDEXTERNO</t>
  </si>
  <si>
    <t>Identificador de la condición de conservación.</t>
  </si>
  <si>
    <t>CC_CODIGO</t>
  </si>
  <si>
    <t>Código de la condición de conservación en la aplicación externa.</t>
  </si>
  <si>
    <t>CC_ALTID</t>
  </si>
  <si>
    <t>Identificador alternativo de la condición de conservación.</t>
  </si>
  <si>
    <t>TIPO DE ORDENACIÓN - OBLIGATORIO</t>
  </si>
  <si>
    <t>TO_IDTIPORDEN</t>
  </si>
  <si>
    <t>Identificador interno del tipo de ordenación.</t>
  </si>
  <si>
    <t>TO_IDEXTERNO</t>
  </si>
  <si>
    <t>Identificador del tipo de ordenación en la aplicación externa.</t>
  </si>
  <si>
    <t>TO_ORDENACION</t>
  </si>
  <si>
    <t>Código del tipo de ordenación.</t>
  </si>
  <si>
    <t>TO_ALTID</t>
  </si>
  <si>
    <t>Identificador alternativo del tipo de ordenación.</t>
  </si>
  <si>
    <t>ENGUIA</t>
  </si>
  <si>
    <t>Indica si el medicamento está en guía. Valores posibles: "S": Sí. "N": No.</t>
  </si>
  <si>
    <t>Revisable: pertenencia a guía farmacoterapéutica (decisión de comisión, no dato clínico del fármaco).</t>
  </si>
  <si>
    <t>DISPENSAR</t>
  </si>
  <si>
    <t>Indica si el medicamento se dispensa desde farmacia. Valores posibles: "S": Sí. "N": No.</t>
  </si>
  <si>
    <t>DISPENSARIRMPCARRO</t>
  </si>
  <si>
    <t>Indica si el medicamento se dispensa por salidas de carro para medicación solicitada por IRMP. Valores posibles: "S": Sí. "N": No.</t>
  </si>
  <si>
    <t>DISPINGRESO</t>
  </si>
  <si>
    <t>Indica que el medicamento está disponible para los circuitos de ingreso. Valores posibles: "S": Sí. "N": No.</t>
  </si>
  <si>
    <t>DISPAMBU</t>
  </si>
  <si>
    <t>Indica que el medicamento está disponible para los circuitos de ambulatorio. Valores posibles: "S": Sí. "N": No.</t>
  </si>
  <si>
    <t>DISPHDIA</t>
  </si>
  <si>
    <t>Indica que el medicamento está disponible para los circuitos de hospital de día. Valores posibles: "S": Sí. "N": No.</t>
  </si>
  <si>
    <t>Indica que el medicamento está disponible para la prescripción libre en HDIA. Valores posibles: "S": Sí. "N": No.</t>
  </si>
  <si>
    <t>DISPMIV</t>
  </si>
  <si>
    <t>Indica que el medicamento está disponible para los circuitos de MIV. Valores posibles: "S": Sí. "N": No.</t>
  </si>
  <si>
    <t>DISPPLANTA</t>
  </si>
  <si>
    <t>Indica que el medicamento está disponible para los circuitos de pedidos de planta. Valores posibles: "S": Sí. "N": No.</t>
  </si>
  <si>
    <t>DISPIRMP</t>
  </si>
  <si>
    <t>Indica que el medicamento está disponible para los circuitos de IRMP de prescripciones. Valores posibles: "S": Sí. "N": No.</t>
  </si>
  <si>
    <t>DISPYXIS</t>
  </si>
  <si>
    <t>Indica que el medicamento está disponible para la reposición de armarios Pyxis. Valores posibles: "S": Sí. "N": No.</t>
  </si>
  <si>
    <t>Tiempo de reserva para el caso de prescripción libre HDIA. Valores posibles: tiempo entre 00:00 y 23:59. Obligatorio si DISPHDIAPRESCLIBRE = “S”.</t>
  </si>
  <si>
    <t>EAN13COMPRA</t>
  </si>
  <si>
    <t>Código EAN13 correspondiente a la unidad de compra.</t>
  </si>
  <si>
    <t>EAN13SUMINISTRO</t>
  </si>
  <si>
    <t>Código EAN13 correspondiente a la unidad de suministro.</t>
  </si>
  <si>
    <t>ALTIDGESTION</t>
  </si>
  <si>
    <t>Identificador alternativo de gestión de la especialidad.</t>
  </si>
  <si>
    <t>Indica si la especialidad está en guía. Valores posibles: “S”: Sí. “N”: No.</t>
  </si>
  <si>
    <t>Revisable: pertenencia a guía farmacoterapéutica.</t>
  </si>
  <si>
    <t>COMPARTIBLE</t>
  </si>
  <si>
    <t>Indica si la especialidad es compartible. Valores posibles: “S”: Siempre. “N”: Nunca. “C”: Según carro.</t>
  </si>
  <si>
    <t>MULTIPLODISPAMB</t>
  </si>
  <si>
    <t>Múltiplo de dispensación para ambulatorios.</t>
  </si>
  <si>
    <t>MULTIPLODISPHDIA</t>
  </si>
  <si>
    <t>Múltiplo de dispensación para hospital de día.</t>
  </si>
  <si>
    <t>VERIFICARDISPAMB</t>
  </si>
  <si>
    <t>Indica que la especialidad requiere verificación en dispensación ambulatoria. Valores posibles: “S”: Sí “N”: No</t>
  </si>
  <si>
    <t>FRACCIONINGRESADO</t>
  </si>
  <si>
    <t>Fraccionabilidad de la especialidad para dispensación de ingreso.</t>
  </si>
  <si>
    <t>FRACCIONAMBULATORIO</t>
  </si>
  <si>
    <t>Fraccionabilidad de la especialidad para dispensación de ambulatorio.</t>
  </si>
  <si>
    <t>FRACCIONINFANTIL</t>
  </si>
  <si>
    <t>Fraccionabilidad de la especialidad para dispensación en unidades de enfermería de tipo infantil.</t>
  </si>
  <si>
    <t>Indica que la especialidad está disponible para los circuitos de ingreso. Valores posibles: “S”: Sí “N”: No</t>
  </si>
  <si>
    <t>Indica que la especialidad está disponible para los circuitos de ambulatorio. Valores posibles: “S”: Sí “N”: No</t>
  </si>
  <si>
    <t>Indica que la especialidad está disponible para los circuitos de hospital de día. Valores posibles: “S”: Sí “N”: No</t>
  </si>
  <si>
    <t>Indica que la especialidad está disponible para los circuitos de MIV. Valores posibles: “S”: Sí “N”: No</t>
  </si>
  <si>
    <t>DISPFOMA</t>
  </si>
  <si>
    <t>Indica que la especialidad está disponible para los circuitos de fórmulas magistrales. Valores posibles: “S”: Sí “N”: No</t>
  </si>
  <si>
    <t>Indica que la especialidad está disponible para los circuitos de pedidos de planta. Valores posibles: “S”: Sí “N”: No</t>
  </si>
  <si>
    <t>Indica que la especialidad está disponible para los circuitos de IRMP desde prescripciones. Valores posibles: “S”: Sí “N”: No</t>
  </si>
  <si>
    <t>Tiempo de reserva para el caso de prescripción libre HDIA. Valores posibles: tiempo entre 00:00 y 23:59. Obligatorio solo si DISPHDIAPRESCLBRE = 'S'</t>
  </si>
  <si>
    <t>CONTENEDOR - OPCIONAL</t>
  </si>
  <si>
    <t>CT_IDCONTEN</t>
  </si>
  <si>
    <t>Identificador interno del contenedor.</t>
  </si>
  <si>
    <t>CT_IDEXTERNO</t>
  </si>
  <si>
    <t>Identificador del contenedor en la aplicación externa.</t>
  </si>
  <si>
    <t>CT_CODIGO</t>
  </si>
  <si>
    <t>Código del contenedor.</t>
  </si>
  <si>
    <t>CT_ALTID</t>
  </si>
  <si>
    <t>Identificador alternativo del contenedor.</t>
  </si>
  <si>
    <t>Indica si la especialidad se dispensa desde farmacia. Valores posibles: “S”. Sí (por defecto) “N”. No</t>
  </si>
  <si>
    <t>DESCRIPCIONGESTION</t>
  </si>
  <si>
    <t>Descripción de gestión de la especialidad.</t>
  </si>
  <si>
    <t>NEMONICOGESTION</t>
  </si>
  <si>
    <t>Nemónico de gestión de la especialidad.</t>
  </si>
  <si>
    <t>PROVEEDOR - OBLIGATORIO</t>
  </si>
  <si>
    <t>PV_IDPROVEE</t>
  </si>
  <si>
    <t>Identificador interno del proveedor.</t>
  </si>
  <si>
    <t>PV_IDEXTERNO</t>
  </si>
  <si>
    <t>Identificador del proveedor en la aplicación externa.</t>
  </si>
  <si>
    <t>PV_CODIGO</t>
  </si>
  <si>
    <t>Código del proveedor.</t>
  </si>
  <si>
    <t>PV_CODIGOEAN13</t>
  </si>
  <si>
    <t>Código EAN13 del proveedor.</t>
  </si>
  <si>
    <t>PV_ALTID</t>
  </si>
  <si>
    <t>Identificador alternativo del proveedor.</t>
  </si>
  <si>
    <t>FACTORCOMPRA</t>
  </si>
  <si>
    <t>Factor de compra.</t>
  </si>
  <si>
    <t>UNIDAD STOCK COMPRA - OBLIGATORIO</t>
  </si>
  <si>
    <t>USC_IDSTOCKUNIDAD</t>
  </si>
  <si>
    <t>Identificador interno de la unidad de compra.</t>
  </si>
  <si>
    <t>USC_IDEXTERNO</t>
  </si>
  <si>
    <t>Identificador de la unidad de compra en la aplicación externa.</t>
  </si>
  <si>
    <t>USC_CODIGO</t>
  </si>
  <si>
    <t>Código de la unidad de compra.</t>
  </si>
  <si>
    <t>USC_ALTID</t>
  </si>
  <si>
    <t>Identificador alternativo de la unidad de compra.</t>
  </si>
  <si>
    <t>FACTORSUMINISTRO</t>
  </si>
  <si>
    <t>Factor de suministro.</t>
  </si>
  <si>
    <t>UNIDAD STOCK SUMINISTRO - OBLIGATORIO</t>
  </si>
  <si>
    <t>USS_IDSTOCKUNIDAD</t>
  </si>
  <si>
    <t>Identificador interno de la unidad de suministro.</t>
  </si>
  <si>
    <t>USS_IDEXTERNO</t>
  </si>
  <si>
    <t>Identificador de la unidad de suministro en la aplicación externa.</t>
  </si>
  <si>
    <t>USS_CODIGO</t>
  </si>
  <si>
    <t>Código de la unidad de suministro.</t>
  </si>
  <si>
    <t>USS_ALTID</t>
  </si>
  <si>
    <t>Identificador alternativo de la unidad de suministro.</t>
  </si>
  <si>
    <t>PEDIDOMINIMO</t>
  </si>
  <si>
    <t>Cantidad mínima (en unidades de compra) que se puede pedir en una línea de pedido de la especialidad.</t>
  </si>
  <si>
    <t>PERMITECOMPRAR</t>
  </si>
  <si>
    <t>Indica si la especialidad se puede comprar. Valores posibles: “S”: Sí (por defecto) Este valor solo se podrá informar si se informa PERMITECOMPRACENTR = “S” y REPOSICION = “C”. “N”: No.</t>
  </si>
  <si>
    <t>PERMITECOMPRACENTR</t>
  </si>
  <si>
    <t>Campo para restringir de forma centralizada que la especialidad se pueda marcar como “permite compra”. Valores posibles: “S”: Sí (por defecto). Este valor no solo podrá informar si se informa REPOSICION = “C”. “N”: No.</t>
  </si>
  <si>
    <t>PERMITEPEDIDOSSINCONCURSO</t>
  </si>
  <si>
    <t>Indica si la especialidad si la especialidad se permite introducir en pedidos a proveedor sin concurso informado. Valores posibles: “S”: Sí. “N”: No (por defecto).</t>
  </si>
  <si>
    <t>REPOSICION</t>
  </si>
  <si>
    <t>Mecanismo de reposición. Valores posibles: “C”: Comprar (por defecto). “F”: Fabricar, mediante fabricación normalizada.</t>
  </si>
  <si>
    <t>PERMITECONSUMOS</t>
  </si>
  <si>
    <t>Indica si es posible generar consumos de la especialidad. Valores posibles: “S”: Sí (por defecto). “N”: No.</t>
  </si>
  <si>
    <t>VALIDARNHCICUIMPUTACION</t>
  </si>
  <si>
    <t>Indica si la especialidad requiere validar que el consumo esté imputado a paciente cuando dicho consumo tiene asignado un NHC de imputación o ICU de imputación. Valores posibles: “S”: Sí. “N”: No (por defecto).</t>
  </si>
  <si>
    <t>CONSUMIRHASTAAGOTAR</t>
  </si>
  <si>
    <t>Indica si el stock puede quedar en negativo. Valores posibles: “S”: Sí. “N”: No (por defecto).</t>
  </si>
  <si>
    <t>PERMITEFABRICAR</t>
  </si>
  <si>
    <t>Indica si es posible fabricar la especialidad por fabricación normalizada. Valores posibles: “S”: Sí. Este valor solo se podrá informar si se informa REPOSICION = “F”. “N”: No (por defecto).</t>
  </si>
  <si>
    <t>CODIGOFACTURA</t>
  </si>
  <si>
    <t>Código de facturación.</t>
  </si>
  <si>
    <t>CONTROL</t>
  </si>
  <si>
    <t>Indica si para la especialidad se realiza gestión de lotes y caducidades. Valores posibles: “N”: No. “C”: Control por caducidades (por defecto).</t>
  </si>
  <si>
    <t>TIPO DE ENVASE - OBLIGATORIO</t>
  </si>
  <si>
    <t>TEV_IDTIPENV</t>
  </si>
  <si>
    <t>Identificador interno del tipo de envase.</t>
  </si>
  <si>
    <t>TEV_IDEXTERNO</t>
  </si>
  <si>
    <t>Identificador del tipo de envase en la aplicación externa.</t>
  </si>
  <si>
    <t>TEV_CODIGO</t>
  </si>
  <si>
    <t>Código del tipo de envase.</t>
  </si>
  <si>
    <t>TEV_ALTID</t>
  </si>
  <si>
    <t>Identificador alternativo del tipo de envase.</t>
  </si>
  <si>
    <t>TIPO DE IVA - OBLIGATORIO</t>
  </si>
  <si>
    <t>TIV_IDTIPENV</t>
  </si>
  <si>
    <t>Identificador interno del tipo de IVA.</t>
  </si>
  <si>
    <t>TIV_IDEXTERNO</t>
  </si>
  <si>
    <t>Identificador del tipo de IVA en la aplicación externa.</t>
  </si>
  <si>
    <t>TIV_CODIGO</t>
  </si>
  <si>
    <t>Código del tipo de IVA.</t>
  </si>
  <si>
    <t>TIV_ALTID</t>
  </si>
  <si>
    <t>Identificador alternativo del tipo de IVA.</t>
  </si>
  <si>
    <t>DESCUENTO</t>
  </si>
  <si>
    <t>DECIMAL (7, 4) &gt;=0</t>
  </si>
  <si>
    <t>Descuento (en %).</t>
  </si>
  <si>
    <t>DESCUENTOPROV</t>
  </si>
  <si>
    <t>Descuento proveedor (en %).</t>
  </si>
  <si>
    <t>COPAGO</t>
  </si>
  <si>
    <t>DECIMAL (13, 6) &gt;=0</t>
  </si>
  <si>
    <t>Importe de copago, en euros.</t>
  </si>
  <si>
    <t>CUENTA CONTABLE - OBLIGATORIO</t>
  </si>
  <si>
    <t>CC_IDCUENTACONTABLE</t>
  </si>
  <si>
    <t>Identificador interno de la cuenta contable.</t>
  </si>
  <si>
    <t>Identificador de la cuenta contable en la aplicación externa.</t>
  </si>
  <si>
    <t>CC_CODIGOCOMPRA</t>
  </si>
  <si>
    <t>Código de compra de la cuenta contable.</t>
  </si>
  <si>
    <t>CC_CODIGOCONSUMO</t>
  </si>
  <si>
    <t>Código de consumo de la cuenta contable.</t>
  </si>
  <si>
    <t>CC_CODIGOINVENTARIO</t>
  </si>
  <si>
    <t>Código de inventario de la cuenta contable.</t>
  </si>
  <si>
    <t>Identificador alternativo de la cuenta contable.</t>
  </si>
  <si>
    <t>CLAVE 1 - OPCIONAL</t>
  </si>
  <si>
    <t>CLV1_IDCLAVE</t>
  </si>
  <si>
    <t>Identificador interno de la clave.</t>
  </si>
  <si>
    <t>CLV1_IDEXTERNO</t>
  </si>
  <si>
    <t>Identificador de la clave en la aplicación externa.</t>
  </si>
  <si>
    <t>CLV1_CODIGO</t>
  </si>
  <si>
    <t>Código de la clave.</t>
  </si>
  <si>
    <t>CLV1_ALTID</t>
  </si>
  <si>
    <t>Identificador alternativo de la clave.</t>
  </si>
  <si>
    <t>CLAVE 2 - OPCIONAL</t>
  </si>
  <si>
    <t>CLV2_IDCLAVE</t>
  </si>
  <si>
    <t>CLV2_IDEXTERNO</t>
  </si>
  <si>
    <t>CLV2_CODIGO</t>
  </si>
  <si>
    <t>CLV2_ALTID</t>
  </si>
  <si>
    <t>CLAVE 3 - OPCIONAL</t>
  </si>
  <si>
    <t>CLV3_IDCLAVE</t>
  </si>
  <si>
    <t>CLV3_IDEXTERNO</t>
  </si>
  <si>
    <t>CLV3_CODIGO</t>
  </si>
  <si>
    <t>CLV3_ALTID</t>
  </si>
  <si>
    <t>CLAVE 4 - OPCIONAL</t>
  </si>
  <si>
    <t>CLV4_IDCLAVE</t>
  </si>
  <si>
    <t>CLV4_IDEXTERNO</t>
  </si>
  <si>
    <t>CLV4_CODIGO</t>
  </si>
  <si>
    <t>CLV4_ALTID</t>
  </si>
  <si>
    <t>CLAVE 5 - OPCIONAL</t>
  </si>
  <si>
    <t>CLV5_IDCLAVE</t>
  </si>
  <si>
    <t>CLV5_IDEXTERNO</t>
  </si>
  <si>
    <t>CLV5_CODIGO</t>
  </si>
  <si>
    <t>CLV5_ALTID</t>
  </si>
  <si>
    <t>EAN13REENVASADO</t>
  </si>
  <si>
    <t>CHAR(14)</t>
  </si>
  <si>
    <t>Código EAN13 correspondiente a la forma farmacéutica o unidad reenvasada.</t>
  </si>
  <si>
    <t>PEDIDOSPOR</t>
  </si>
  <si>
    <t>Indica si los pedidos de proveedor se gestionan por envases de compra o unidades de suministro. Valores posibles: “C”: Compra (por defecto). “S”: Suministro.</t>
  </si>
  <si>
    <t>PVL</t>
  </si>
  <si>
    <t>Precio de venta de laboratorio por unidad de compra, expresado en euros.</t>
  </si>
  <si>
    <t>PVP</t>
  </si>
  <si>
    <t>Precio venta al público por unidad de compra, expresado en euros.</t>
  </si>
  <si>
    <t>COMPOSICIONVALIDA</t>
  </si>
  <si>
    <t>Indica el estado de la definición de la composición de fabricación. Valores posibles: “PE”: Pendiente de validar (por defecto). “IV”: Imposible validar. No se ha informado la composición (sus principios activos) y no se puede determinar si es válida. “NV”: Composición no válida. No encaja la composición. “V”: Composición válida. Encaja la composición.</t>
  </si>
  <si>
    <t>CANTIDADRECOMENDADA</t>
  </si>
  <si>
    <t>Cantidad de formas farmacéuticas por defecto que se utilizarán al crear la orden de fabricación.</t>
  </si>
  <si>
    <t>Jornada anual</t>
  </si>
  <si>
    <t>B - Todo</t>
  </si>
  <si>
    <t>A - SERGAS</t>
  </si>
  <si>
    <t xml:space="preserve"> solo identificación, vías, frecuencias y recomendaciones; sin completar el bloque DMAX completo.</t>
  </si>
  <si>
    <t>Solo multidosis y validez tras apertura, y solo en el 15-20% de envases donde aplica.</t>
  </si>
  <si>
    <t>Opcional</t>
  </si>
  <si>
    <t>Revisión manual de lo extraído + introducción de los campos que requieren interpretación. EXCLUYE interacciones.</t>
  </si>
  <si>
    <t>Responsabilidad</t>
  </si>
  <si>
    <r>
      <t xml:space="preserve">No existe una certificación específica que diga "esta base de datos de medicamentos es de calidad". Lo que existe, y es el modelo de referencia en España, es aplicar una </t>
    </r>
    <r>
      <rPr>
        <b/>
        <sz val="12"/>
        <color theme="1"/>
        <rFont val="Aptos"/>
        <family val="2"/>
      </rPr>
      <t>norma de gestión de calidad genérica al proceso de mantenimiento de los datos</t>
    </r>
    <r>
      <rPr>
        <sz val="12"/>
        <color theme="1"/>
        <rFont val="Aptos"/>
        <family val="2"/>
      </rPr>
      <t xml:space="preserve">. El caso de libro es </t>
    </r>
    <r>
      <rPr>
        <b/>
        <sz val="12"/>
        <color theme="1"/>
        <rFont val="Aptos"/>
        <family val="2"/>
      </rPr>
      <t>BOT PLUS</t>
    </r>
    <r>
      <rPr>
        <sz val="12"/>
        <color theme="1"/>
        <rFont val="Aptos"/>
        <family val="2"/>
      </rPr>
      <t xml:space="preserve">, del Consejo General de Colegios Oficiales de Farmacéuticos: certifican su sistema de gestión de calidad según </t>
    </r>
    <r>
      <rPr>
        <b/>
        <sz val="12"/>
        <color theme="1"/>
        <rFont val="Aptos"/>
        <family val="2"/>
      </rPr>
      <t>ISO 9001</t>
    </r>
    <r>
      <rPr>
        <sz val="12"/>
        <color theme="1"/>
        <rFont val="Aptos"/>
        <family val="2"/>
      </rPr>
      <t xml:space="preserve"> desde 2007, auditado por un organismo externo (Bureau Veritas primero, SGS después). Su modelo es: equipo de farmacéuticos que revisa y homogeneiza el contenido procedente de fuentes oficiales (AEMPS, EMA, consejerías de sanidad), trazabilidad de cada dato hasta su fuente, y auditoría anual del proceso.</t>
    </r>
  </si>
  <si>
    <t>La propia AEMPS ya advierte que su información tiene finalidad exclusivamente informativa y carece de validez a efectos legales, y que puede haber errores u omisiones. Cualquier sistema que construyáis encima debería heredar ese mismo disclaimer</t>
  </si>
  <si>
    <r>
      <t>Dosis máxima</t>
    </r>
    <r>
      <rPr>
        <sz val="12"/>
        <color theme="1"/>
        <rFont val="Aptos"/>
        <family val="2"/>
      </rPr>
      <t>, un extractor automático puede fallar:</t>
    </r>
  </si>
  <si>
    <r>
      <t xml:space="preserve">1. Confundir dosis de </t>
    </r>
    <r>
      <rPr>
        <b/>
        <sz val="12"/>
        <color theme="1"/>
        <rFont val="Aptos"/>
        <family val="2"/>
      </rPr>
      <t>sobredosis</t>
    </r>
    <r>
      <rPr>
        <sz val="12"/>
        <color theme="1"/>
        <rFont val="Aptos"/>
        <family val="2"/>
      </rPr>
      <t xml:space="preserve"> (sección 4.9) con dosis </t>
    </r>
    <r>
      <rPr>
        <b/>
        <sz val="12"/>
        <color theme="1"/>
        <rFont val="Aptos"/>
        <family val="2"/>
      </rPr>
      <t>máxima terapéutica</t>
    </r>
    <r>
      <rPr>
        <sz val="12"/>
        <color theme="1"/>
        <rFont val="Aptos"/>
        <family val="2"/>
      </rPr>
      <t xml:space="preserve"> (sección 4.2).</t>
    </r>
  </si>
  <si>
    <r>
      <t xml:space="preserve">2. Confundir dosis usadas en un </t>
    </r>
    <r>
      <rPr>
        <b/>
        <sz val="12"/>
        <color theme="1"/>
        <rFont val="Aptos"/>
        <family val="2"/>
      </rPr>
      <t>estudio clínico</t>
    </r>
    <r>
      <rPr>
        <sz val="12"/>
        <color theme="1"/>
        <rFont val="Aptos"/>
        <family val="2"/>
      </rPr>
      <t xml:space="preserve"> (sección 5.1/5.2) con </t>
    </r>
    <r>
      <rPr>
        <b/>
        <sz val="12"/>
        <color theme="1"/>
        <rFont val="Aptos"/>
        <family val="2"/>
      </rPr>
      <t>posología aprobada</t>
    </r>
    <r>
      <rPr>
        <sz val="12"/>
        <color theme="1"/>
        <rFont val="Aptos"/>
        <family val="2"/>
      </rPr>
      <t xml:space="preserve"> (sección 4.2).</t>
    </r>
  </si>
  <si>
    <r>
      <t xml:space="preserve">3. La dosis máxima debe ir relacionada con forma farmacéutica, vía de administración e indicación. </t>
    </r>
    <r>
      <rPr>
        <b/>
        <sz val="12"/>
        <color theme="1"/>
        <rFont val="Aptos"/>
        <family val="2"/>
      </rPr>
      <t>En Silicon está en principio activo</t>
    </r>
    <r>
      <rPr>
        <sz val="12"/>
        <color theme="1"/>
        <rFont val="Aptos"/>
        <family val="2"/>
      </rPr>
      <t>.</t>
    </r>
  </si>
  <si>
    <t>Necesidad de interpretación en muchos campos, ejemplo:</t>
  </si>
  <si>
    <t>Incluye algún excipiente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</si>
</sst>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24" x14ac:knownFonts="1">
    <font>
      <sz val="11"/>
      <color theme="1"/>
      <name val="Calibri"/>
      <family val="2"/>
      <charset val="1"/>
    </font>
    <font>
      <b/>
      <sz val="15"/>
      <color rgb="FF1F3864"/>
      <name val="Arial"/>
      <charset val="1"/>
    </font>
    <font>
      <i/>
      <sz val="10"/>
      <color rgb="FF595959"/>
      <name val="Arial"/>
      <charset val="1"/>
    </font>
    <font>
      <b/>
      <sz val="12"/>
      <color rgb="FF1F3864"/>
      <name val="Arial"/>
      <charset val="1"/>
    </font>
    <font>
      <b/>
      <sz val="10"/>
      <name val="Arial"/>
      <charset val="1"/>
    </font>
    <font>
      <sz val="10"/>
      <name val="Arial"/>
      <charset val="1"/>
    </font>
    <font>
      <b/>
      <sz val="10"/>
      <color rgb="FFFFFFFF"/>
      <name val="Arial"/>
      <charset val="1"/>
    </font>
    <font>
      <i/>
      <sz val="9"/>
      <color rgb="FF595959"/>
      <name val="Arial"/>
      <charset val="1"/>
    </font>
    <font>
      <b/>
      <sz val="13"/>
      <color rgb="FF1F3864"/>
      <name val="Arial"/>
      <charset val="1"/>
    </font>
    <font>
      <b/>
      <sz val="10"/>
      <color rgb="FF1F3864"/>
      <name val="Arial"/>
      <charset val="1"/>
    </font>
    <font>
      <i/>
      <sz val="9"/>
      <color rgb="FF843C0C"/>
      <name val="Arial"/>
      <charset val="1"/>
    </font>
    <font>
      <b/>
      <sz val="11"/>
      <color rgb="FF1F3864"/>
      <name val="Arial"/>
      <charset val="1"/>
    </font>
    <font>
      <b/>
      <sz val="14"/>
      <color rgb="FF1F3864"/>
      <name val="Arial"/>
      <charset val="1"/>
    </font>
    <font>
      <sz val="9"/>
      <color rgb="FF595959"/>
      <name val="Arial"/>
      <charset val="1"/>
    </font>
    <font>
      <sz val="10"/>
      <color rgb="FF000000"/>
      <name val="Arial"/>
      <charset val="1"/>
    </font>
    <font>
      <sz val="10"/>
      <color rgb="FF0000FF"/>
      <name val="Arial"/>
      <charset val="1"/>
    </font>
    <font>
      <sz val="9"/>
      <color rgb="FF843C0C"/>
      <name val="Arial"/>
      <charset val="1"/>
    </font>
    <font>
      <i/>
      <sz val="9"/>
      <name val="Arial"/>
      <charset val="1"/>
    </font>
    <font>
      <b/>
      <sz val="10"/>
      <color rgb="FF000000"/>
      <name val="Arial"/>
      <charset val="1"/>
    </font>
    <font>
      <b/>
      <sz val="11"/>
      <name val="Arial"/>
      <charset val="1"/>
    </font>
    <font>
      <sz val="11"/>
      <color theme="1"/>
      <name val="Calibri"/>
      <family val="2"/>
      <charset val="1"/>
    </font>
    <font>
      <sz val="12"/>
      <color theme="1"/>
      <name val="Aptos"/>
      <family val="2"/>
    </font>
    <font>
      <b/>
      <sz val="12"/>
      <color theme="1"/>
      <name val="Aptos"/>
      <family val="2"/>
    </font>
    <font>
      <sz val="9"/>
      <color rgb="FF595959"/>
      <name val="Arial"/>
      <family val="2"/>
    </font>
  </fonts>
  <fills count="13">
    <fill>
      <patternFill patternType="none"/>
    </fill>
    <fill>
      <patternFill patternType="gray125"/>
    </fill>
    <fill>
      <patternFill patternType="solid">
        <fgColor rgb="FFE2EFDA"/>
        <bgColor rgb="FFDDEBF7"/>
      </patternFill>
    </fill>
    <fill>
      <patternFill patternType="solid">
        <fgColor rgb="FFFCE4D6"/>
        <bgColor rgb="FFE4DFEC"/>
      </patternFill>
    </fill>
    <fill>
      <patternFill patternType="solid">
        <fgColor rgb="FF1F3864"/>
        <bgColor rgb="FF333333"/>
      </patternFill>
    </fill>
    <fill>
      <patternFill patternType="solid">
        <fgColor rgb="FFD9D9D9"/>
        <bgColor rgb="FFE4DFEC"/>
      </patternFill>
    </fill>
    <fill>
      <patternFill patternType="solid">
        <fgColor rgb="FFF8CBAD"/>
        <bgColor rgb="FFFCE4D6"/>
      </patternFill>
    </fill>
    <fill>
      <patternFill patternType="solid">
        <fgColor rgb="FFC6EFCE"/>
        <bgColor rgb="FFE2EFDA"/>
      </patternFill>
    </fill>
    <fill>
      <patternFill patternType="solid">
        <fgColor rgb="FFFFEB9C"/>
        <bgColor rgb="FFFCE4D6"/>
      </patternFill>
    </fill>
    <fill>
      <patternFill patternType="solid">
        <fgColor rgb="FFDDEBF7"/>
        <bgColor rgb="FFD9E1F2"/>
      </patternFill>
    </fill>
    <fill>
      <patternFill patternType="solid">
        <fgColor rgb="FFE4DFEC"/>
        <bgColor rgb="FFD9E1F2"/>
      </patternFill>
    </fill>
    <fill>
      <patternFill patternType="solid">
        <fgColor rgb="FFD9E1F2"/>
        <bgColor rgb="FFE4DFEC"/>
      </patternFill>
    </fill>
    <fill>
      <patternFill patternType="solid">
        <fgColor rgb="FFFFFFCC"/>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s>
  <cellStyleXfs count="2">
    <xf numFmtId="0" fontId="0" fillId="0" borderId="0"/>
    <xf numFmtId="0" fontId="20" fillId="12" borderId="2" applyNumberFormat="0" applyFont="0" applyAlignment="0" applyProtection="0"/>
  </cellStyleXfs>
  <cellXfs count="69">
    <xf numFmtId="0" fontId="0" fillId="0" borderId="0" xfId="0"/>
    <xf numFmtId="0" fontId="7" fillId="0" borderId="0" xfId="0" applyFont="1"/>
    <xf numFmtId="0" fontId="5" fillId="0" borderId="0" xfId="0" applyFont="1" applyAlignment="1">
      <alignment vertical="top" wrapText="1"/>
    </xf>
    <xf numFmtId="0" fontId="7" fillId="0" borderId="0" xfId="0" applyFont="1" applyAlignment="1">
      <alignment vertical="top" wrapText="1"/>
    </xf>
    <xf numFmtId="0" fontId="9" fillId="5" borderId="1" xfId="0" applyFont="1" applyFill="1" applyBorder="1"/>
    <xf numFmtId="0" fontId="1" fillId="0" borderId="0" xfId="0" applyFont="1"/>
    <xf numFmtId="0" fontId="2" fillId="0" borderId="0" xfId="0" applyFont="1"/>
    <xf numFmtId="0" fontId="3" fillId="0" borderId="0" xfId="0" applyFont="1"/>
    <xf numFmtId="0" fontId="4" fillId="2" borderId="0" xfId="0" applyFont="1" applyFill="1"/>
    <xf numFmtId="0" fontId="5" fillId="0" borderId="0" xfId="0" applyFont="1"/>
    <xf numFmtId="0" fontId="4" fillId="0" borderId="0" xfId="0" applyFont="1"/>
    <xf numFmtId="0" fontId="4" fillId="3" borderId="0" xfId="0" applyFont="1" applyFill="1"/>
    <xf numFmtId="0" fontId="6" fillId="4" borderId="1" xfId="0" applyFont="1" applyFill="1" applyBorder="1" applyAlignment="1">
      <alignment horizontal="center" wrapText="1"/>
    </xf>
    <xf numFmtId="0" fontId="5" fillId="0" borderId="1" xfId="0" applyFont="1" applyBorder="1"/>
    <xf numFmtId="0" fontId="5" fillId="0" borderId="1" xfId="0" applyFont="1" applyBorder="1" applyAlignment="1">
      <alignment horizontal="center"/>
    </xf>
    <xf numFmtId="0" fontId="7" fillId="0" borderId="0" xfId="0" applyFont="1"/>
    <xf numFmtId="0" fontId="8" fillId="0" borderId="0" xfId="0" applyFont="1"/>
    <xf numFmtId="0" fontId="6" fillId="4" borderId="1" xfId="0" applyFont="1" applyFill="1" applyBorder="1" applyAlignment="1">
      <alignment horizontal="center" vertical="center" wrapText="1"/>
    </xf>
    <xf numFmtId="0" fontId="5" fillId="0" borderId="1" xfId="0" applyFont="1" applyBorder="1" applyAlignment="1">
      <alignment horizontal="center" vertical="top"/>
    </xf>
    <xf numFmtId="0" fontId="5" fillId="0" borderId="1" xfId="0" applyFont="1" applyBorder="1" applyAlignment="1">
      <alignment horizontal="left" vertical="top"/>
    </xf>
    <xf numFmtId="0" fontId="5" fillId="0" borderId="1" xfId="0" applyFont="1" applyBorder="1" applyAlignment="1">
      <alignment horizontal="left" vertical="top" wrapText="1"/>
    </xf>
    <xf numFmtId="0" fontId="4" fillId="0" borderId="1" xfId="0" applyFont="1" applyBorder="1" applyAlignment="1">
      <alignment horizontal="left" vertical="top"/>
    </xf>
    <xf numFmtId="0" fontId="5" fillId="2" borderId="1" xfId="0" applyFont="1" applyFill="1" applyBorder="1" applyAlignment="1">
      <alignment horizontal="center" vertical="top"/>
    </xf>
    <xf numFmtId="0" fontId="10" fillId="0" borderId="1" xfId="0" applyFont="1" applyBorder="1" applyAlignment="1">
      <alignment horizontal="left" vertical="top" wrapText="1"/>
    </xf>
    <xf numFmtId="0" fontId="5" fillId="6"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5" fillId="8" borderId="1" xfId="0" applyFont="1" applyFill="1" applyBorder="1" applyAlignment="1">
      <alignment horizontal="left" vertical="top" wrapText="1"/>
    </xf>
    <xf numFmtId="0" fontId="11" fillId="0" borderId="0" xfId="0" applyFont="1"/>
    <xf numFmtId="0" fontId="5" fillId="7" borderId="0" xfId="0" applyFont="1" applyFill="1"/>
    <xf numFmtId="0" fontId="5" fillId="0" borderId="0" xfId="0" applyFont="1" applyAlignment="1">
      <alignment horizontal="center"/>
    </xf>
    <xf numFmtId="0" fontId="5" fillId="8" borderId="0" xfId="0" applyFont="1" applyFill="1"/>
    <xf numFmtId="0" fontId="5" fillId="3" borderId="0" xfId="0" applyFont="1" applyFill="1"/>
    <xf numFmtId="0" fontId="5" fillId="6" borderId="0" xfId="0" applyFont="1" applyFill="1"/>
    <xf numFmtId="0" fontId="4" fillId="0" borderId="0" xfId="0" applyFont="1" applyAlignment="1">
      <alignment horizontal="center"/>
    </xf>
    <xf numFmtId="0" fontId="5" fillId="9" borderId="1" xfId="0" applyFont="1" applyFill="1" applyBorder="1" applyAlignment="1">
      <alignment horizontal="left" vertical="top"/>
    </xf>
    <xf numFmtId="0" fontId="5" fillId="8" borderId="1" xfId="0" applyFont="1" applyFill="1" applyBorder="1" applyAlignment="1">
      <alignment horizontal="left" vertical="top"/>
    </xf>
    <xf numFmtId="0" fontId="5" fillId="7" borderId="1" xfId="0" applyFont="1" applyFill="1" applyBorder="1" applyAlignment="1">
      <alignment horizontal="left" vertical="top"/>
    </xf>
    <xf numFmtId="0" fontId="5" fillId="9" borderId="0" xfId="0" applyFont="1" applyFill="1"/>
    <xf numFmtId="0" fontId="5" fillId="10" borderId="0" xfId="0" applyFont="1" applyFill="1"/>
    <xf numFmtId="0" fontId="4" fillId="0" borderId="1" xfId="0" applyFont="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lignment horizontal="left" vertical="top"/>
    </xf>
    <xf numFmtId="0" fontId="5" fillId="11" borderId="1" xfId="0" applyFont="1" applyFill="1" applyBorder="1" applyAlignment="1">
      <alignment horizontal="left" vertical="top"/>
    </xf>
    <xf numFmtId="0" fontId="5" fillId="0" borderId="1" xfId="0" applyFont="1" applyBorder="1" applyAlignment="1">
      <alignment horizontal="left"/>
    </xf>
    <xf numFmtId="9" fontId="5" fillId="8" borderId="1" xfId="0" applyNumberFormat="1" applyFont="1" applyFill="1" applyBorder="1" applyAlignment="1">
      <alignment horizontal="center"/>
    </xf>
    <xf numFmtId="9" fontId="5" fillId="6" borderId="1" xfId="0" applyNumberFormat="1" applyFont="1" applyFill="1" applyBorder="1" applyAlignment="1">
      <alignment horizontal="center"/>
    </xf>
    <xf numFmtId="9" fontId="5" fillId="7" borderId="1" xfId="0" applyNumberFormat="1" applyFont="1" applyFill="1" applyBorder="1" applyAlignment="1">
      <alignment horizontal="center"/>
    </xf>
    <xf numFmtId="0" fontId="12" fillId="0" borderId="0" xfId="0" applyFont="1"/>
    <xf numFmtId="0" fontId="13" fillId="0" borderId="0" xfId="0" applyFont="1" applyAlignment="1">
      <alignment vertical="top" wrapText="1"/>
    </xf>
    <xf numFmtId="0" fontId="6" fillId="4" borderId="1" xfId="0" applyFont="1" applyFill="1" applyBorder="1"/>
    <xf numFmtId="0" fontId="14" fillId="0" borderId="0" xfId="0" applyFont="1"/>
    <xf numFmtId="0" fontId="16" fillId="0" borderId="0" xfId="0" applyFont="1"/>
    <xf numFmtId="9" fontId="17" fillId="0" borderId="1" xfId="0" applyNumberFormat="1" applyFont="1" applyBorder="1" applyAlignment="1">
      <alignment horizontal="center"/>
    </xf>
    <xf numFmtId="3" fontId="14" fillId="0" borderId="1" xfId="0" applyNumberFormat="1" applyFont="1" applyBorder="1" applyAlignment="1">
      <alignment horizontal="center"/>
    </xf>
    <xf numFmtId="0" fontId="18" fillId="0" borderId="0" xfId="0" applyFont="1"/>
    <xf numFmtId="3" fontId="19" fillId="9" borderId="1" xfId="0" applyNumberFormat="1" applyFont="1" applyFill="1" applyBorder="1" applyAlignment="1">
      <alignment horizontal="center"/>
    </xf>
    <xf numFmtId="164" fontId="19" fillId="9" borderId="1" xfId="0" applyNumberFormat="1" applyFont="1" applyFill="1" applyBorder="1" applyAlignment="1">
      <alignment horizontal="center"/>
    </xf>
    <xf numFmtId="2" fontId="14" fillId="0" borderId="1" xfId="0" applyNumberFormat="1" applyFont="1" applyBorder="1" applyAlignment="1">
      <alignment horizontal="center"/>
    </xf>
    <xf numFmtId="165" fontId="14" fillId="0" borderId="1" xfId="0" applyNumberFormat="1" applyFont="1" applyBorder="1" applyAlignment="1">
      <alignment horizontal="center"/>
    </xf>
    <xf numFmtId="0" fontId="5" fillId="3" borderId="1" xfId="0" applyFont="1" applyFill="1" applyBorder="1" applyAlignment="1">
      <alignment horizontal="center" vertical="top"/>
    </xf>
    <xf numFmtId="0" fontId="15" fillId="12" borderId="2" xfId="1" applyFont="1" applyAlignment="1">
      <alignment horizontal="center"/>
    </xf>
    <xf numFmtId="9" fontId="15" fillId="12" borderId="2" xfId="1" applyNumberFormat="1" applyFont="1" applyAlignment="1">
      <alignment horizontal="center"/>
    </xf>
    <xf numFmtId="164" fontId="15" fillId="12" borderId="2" xfId="1" applyNumberFormat="1" applyFont="1" applyAlignment="1">
      <alignment horizontal="center"/>
    </xf>
    <xf numFmtId="0" fontId="21" fillId="0" borderId="0" xfId="0" applyFont="1" applyAlignment="1">
      <alignment vertical="center"/>
    </xf>
    <xf numFmtId="0" fontId="22" fillId="0" borderId="0" xfId="0" applyFont="1" applyAlignment="1">
      <alignment vertical="center"/>
    </xf>
    <xf numFmtId="0" fontId="21" fillId="0" borderId="0" xfId="0" applyFont="1" applyAlignment="1">
      <alignment horizontal="left" vertical="center" indent="1"/>
    </xf>
    <xf numFmtId="0" fontId="21" fillId="0" borderId="0" xfId="0" applyFont="1" applyAlignment="1">
      <alignment vertical="center" wrapText="1"/>
    </xf>
    <xf numFmtId="0" fontId="23" fillId="0" borderId="0" xfId="0" applyFont="1" applyAlignment="1">
      <alignment vertical="top" wrapText="1"/>
    </xf>
  </cellXfs>
  <cellStyles count="2">
    <cellStyle name="Normal" xfId="0" builtinId="0"/>
    <cellStyle name="Notas" xfId="1" builtinId="1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2EFDA"/>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1F2"/>
      <rgbColor rgb="FFC6EFCE"/>
      <rgbColor rgb="FFFFEB9C"/>
      <rgbColor rgb="FFE4DFEC"/>
      <rgbColor rgb="FFFCE4D6"/>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843C0C"/>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zoomScaleNormal="100" workbookViewId="0">
      <selection activeCell="B35" sqref="B35"/>
    </sheetView>
  </sheetViews>
  <sheetFormatPr baseColWidth="10" defaultColWidth="8.6328125" defaultRowHeight="14.5" x14ac:dyDescent="0.35"/>
  <cols>
    <col min="1" max="1" width="26" customWidth="1"/>
    <col min="2" max="2" width="95" customWidth="1"/>
    <col min="3" max="4" width="12" customWidth="1"/>
    <col min="5" max="5" width="18" customWidth="1"/>
    <col min="6" max="6" width="20" customWidth="1"/>
  </cols>
  <sheetData>
    <row r="1" spans="1:6" ht="18" customHeight="1" x14ac:dyDescent="0.4">
      <c r="A1" s="5" t="s">
        <v>0</v>
      </c>
    </row>
    <row r="2" spans="1:6" ht="15" customHeight="1" x14ac:dyDescent="0.35">
      <c r="A2" s="6" t="s">
        <v>1</v>
      </c>
    </row>
    <row r="4" spans="1:6" ht="15" customHeight="1" x14ac:dyDescent="0.35">
      <c r="A4" s="7" t="s">
        <v>2</v>
      </c>
    </row>
    <row r="5" spans="1:6" ht="15" customHeight="1" x14ac:dyDescent="0.35">
      <c r="A5" s="8" t="s">
        <v>3</v>
      </c>
      <c r="B5" s="9" t="s">
        <v>4</v>
      </c>
    </row>
    <row r="6" spans="1:6" ht="15" customHeight="1" x14ac:dyDescent="0.35">
      <c r="A6" s="10" t="s">
        <v>5</v>
      </c>
      <c r="B6" s="9" t="s">
        <v>6</v>
      </c>
    </row>
    <row r="7" spans="1:6" ht="15" customHeight="1" x14ac:dyDescent="0.35">
      <c r="A7" s="10" t="s">
        <v>7</v>
      </c>
      <c r="B7" s="9" t="s">
        <v>8</v>
      </c>
    </row>
    <row r="8" spans="1:6" ht="15" customHeight="1" x14ac:dyDescent="0.35">
      <c r="A8" s="11" t="s">
        <v>9</v>
      </c>
      <c r="B8" s="9" t="s">
        <v>10</v>
      </c>
    </row>
    <row r="10" spans="1:6" ht="15" customHeight="1" x14ac:dyDescent="0.35">
      <c r="A10" s="7" t="s">
        <v>11</v>
      </c>
    </row>
    <row r="11" spans="1:6" ht="15" customHeight="1" x14ac:dyDescent="0.35">
      <c r="A11" s="12" t="s">
        <v>12</v>
      </c>
      <c r="B11" s="12" t="s">
        <v>3</v>
      </c>
      <c r="C11" s="12" t="s">
        <v>5</v>
      </c>
      <c r="D11" s="12" t="s">
        <v>7</v>
      </c>
      <c r="E11" s="12" t="s">
        <v>13</v>
      </c>
      <c r="F11" s="12" t="s">
        <v>14</v>
      </c>
    </row>
    <row r="12" spans="1:6" ht="15" customHeight="1" x14ac:dyDescent="0.35">
      <c r="A12" s="13" t="s">
        <v>15</v>
      </c>
      <c r="B12" s="14">
        <f>COUNTIF('1. Principio Activo'!$B:$B,"Clínico")</f>
        <v>121</v>
      </c>
      <c r="C12" s="14">
        <f>COUNTIF('1. Principio Activo'!$B:$B,"Clave")</f>
        <v>20</v>
      </c>
      <c r="D12" s="14">
        <f>COUNTIF('1. Principio Activo'!$B:$B,"Técnico")</f>
        <v>2</v>
      </c>
      <c r="E12" s="14">
        <f>SUM(B12:D12)</f>
        <v>143</v>
      </c>
      <c r="F12" s="14">
        <v>10</v>
      </c>
    </row>
    <row r="13" spans="1:6" ht="15" customHeight="1" x14ac:dyDescent="0.35">
      <c r="A13" s="13" t="s">
        <v>16</v>
      </c>
      <c r="B13" s="14">
        <f>COUNTIF('2. Medicamento'!$B:$B,"Clínico")</f>
        <v>75</v>
      </c>
      <c r="C13" s="14">
        <f>COUNTIF('2. Medicamento'!$B:$B,"Clave")</f>
        <v>32</v>
      </c>
      <c r="D13" s="14">
        <f>COUNTIF('2. Medicamento'!$B:$B,"Técnico")</f>
        <v>5</v>
      </c>
      <c r="E13" s="14">
        <f>SUM(B13:D13)</f>
        <v>112</v>
      </c>
      <c r="F13" s="14">
        <v>20</v>
      </c>
    </row>
    <row r="14" spans="1:6" ht="15" customHeight="1" x14ac:dyDescent="0.35">
      <c r="A14" s="13" t="s">
        <v>17</v>
      </c>
      <c r="B14" s="14">
        <f>COUNTIF('3. Especialidad'!$B:$B,"Clínico")</f>
        <v>19</v>
      </c>
      <c r="C14" s="14">
        <f>COUNTIF('3. Especialidad'!$B:$B,"Clave")</f>
        <v>12</v>
      </c>
      <c r="D14" s="14">
        <f>COUNTIF('3. Especialidad'!$B:$B,"Técnico")</f>
        <v>2</v>
      </c>
      <c r="E14" s="14">
        <f>SUM(B14:D14)</f>
        <v>33</v>
      </c>
      <c r="F14" s="14">
        <v>103</v>
      </c>
    </row>
    <row r="15" spans="1:6" ht="15" customHeight="1" x14ac:dyDescent="0.35">
      <c r="A15" s="13" t="s">
        <v>18</v>
      </c>
      <c r="B15" s="14">
        <f>COUNTIF('4. Transversales'!$B:$B,"Clínico")</f>
        <v>30</v>
      </c>
      <c r="C15" s="14">
        <f>COUNTIF('4. Transversales'!$B:$B,"Clave")</f>
        <v>28</v>
      </c>
      <c r="D15" s="14">
        <f>COUNTIF('4. Transversales'!$B:$B,"Técnico")</f>
        <v>7</v>
      </c>
      <c r="E15" s="14">
        <f>SUM(B15:D15)</f>
        <v>65</v>
      </c>
      <c r="F15" s="14">
        <v>0</v>
      </c>
    </row>
    <row r="17" spans="1:2" ht="15" customHeight="1" x14ac:dyDescent="0.35">
      <c r="A17" s="10" t="s">
        <v>19</v>
      </c>
      <c r="B17" s="15" t="s">
        <v>20</v>
      </c>
    </row>
    <row r="21" spans="1:2" ht="15.5" x14ac:dyDescent="0.35">
      <c r="A21" s="7" t="s">
        <v>1101</v>
      </c>
    </row>
    <row r="22" spans="1:2" ht="128" x14ac:dyDescent="0.35">
      <c r="B22" s="67" t="s">
        <v>1102</v>
      </c>
    </row>
    <row r="23" spans="1:2" ht="48" x14ac:dyDescent="0.35">
      <c r="A23" s="64"/>
      <c r="B23" s="67" t="s">
        <v>1103</v>
      </c>
    </row>
    <row r="25" spans="1:2" ht="15.5" x14ac:dyDescent="0.35">
      <c r="A25" s="7" t="s">
        <v>1108</v>
      </c>
    </row>
    <row r="26" spans="1:2" ht="16" x14ac:dyDescent="0.35">
      <c r="A26" s="65" t="s">
        <v>1104</v>
      </c>
    </row>
    <row r="27" spans="1:2" ht="16" x14ac:dyDescent="0.35">
      <c r="A27" s="66" t="s">
        <v>1105</v>
      </c>
    </row>
    <row r="28" spans="1:2" ht="16" x14ac:dyDescent="0.35">
      <c r="A28" s="66" t="s">
        <v>1106</v>
      </c>
    </row>
    <row r="29" spans="1:2" ht="16" x14ac:dyDescent="0.35">
      <c r="A29" s="66" t="s">
        <v>1107</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52"/>
  <sheetViews>
    <sheetView zoomScaleNormal="100" workbookViewId="0">
      <pane ySplit="4" topLeftCell="A87" activePane="bottomLeft" state="frozen"/>
      <selection pane="bottomLeft"/>
    </sheetView>
  </sheetViews>
  <sheetFormatPr baseColWidth="10" defaultColWidth="8.6328125" defaultRowHeight="14.5" x14ac:dyDescent="0.35"/>
  <cols>
    <col min="1" max="1" width="5" customWidth="1"/>
    <col min="2" max="2" width="11" customWidth="1"/>
    <col min="3" max="3" width="30" customWidth="1"/>
    <col min="4" max="4" width="16" customWidth="1"/>
    <col min="5" max="5" width="34" customWidth="1"/>
    <col min="6" max="6" width="27" customWidth="1"/>
    <col min="7" max="7" width="26" customWidth="1"/>
    <col min="8" max="8" width="6" customWidth="1"/>
    <col min="9" max="9" width="70" customWidth="1"/>
    <col min="10" max="10" width="46" customWidth="1"/>
  </cols>
  <sheetData>
    <row r="1" spans="1:10" ht="15.75" customHeight="1" x14ac:dyDescent="0.35">
      <c r="A1" s="16" t="s">
        <v>21</v>
      </c>
    </row>
    <row r="2" spans="1:10" ht="15" customHeight="1" x14ac:dyDescent="0.35">
      <c r="A2" s="15" t="s">
        <v>22</v>
      </c>
    </row>
    <row r="4" spans="1:10" ht="15" customHeight="1" x14ac:dyDescent="0.35">
      <c r="A4" s="17" t="s">
        <v>23</v>
      </c>
      <c r="B4" s="17" t="s">
        <v>24</v>
      </c>
      <c r="C4" s="17" t="s">
        <v>25</v>
      </c>
      <c r="D4" s="17" t="s">
        <v>26</v>
      </c>
      <c r="E4" s="17" t="s">
        <v>27</v>
      </c>
      <c r="F4" s="17" t="s">
        <v>28</v>
      </c>
      <c r="G4" s="17" t="s">
        <v>29</v>
      </c>
      <c r="H4" s="17" t="s">
        <v>30</v>
      </c>
      <c r="I4" s="17" t="s">
        <v>31</v>
      </c>
      <c r="J4" s="17" t="s">
        <v>32</v>
      </c>
    </row>
    <row r="5" spans="1:10" ht="15" customHeight="1" x14ac:dyDescent="0.35">
      <c r="A5" s="4" t="s">
        <v>33</v>
      </c>
      <c r="B5" s="4"/>
      <c r="C5" s="4"/>
      <c r="D5" s="4"/>
      <c r="E5" s="4"/>
      <c r="F5" s="4"/>
      <c r="G5" s="4"/>
      <c r="H5" s="4"/>
      <c r="I5" s="4"/>
      <c r="J5" s="4"/>
    </row>
    <row r="6" spans="1:10" ht="15" customHeight="1" x14ac:dyDescent="0.35">
      <c r="A6" s="18">
        <v>1</v>
      </c>
      <c r="B6" s="18" t="s">
        <v>5</v>
      </c>
      <c r="C6" s="19" t="s">
        <v>33</v>
      </c>
      <c r="D6" s="19" t="s">
        <v>34</v>
      </c>
      <c r="E6" s="20"/>
      <c r="F6" s="21" t="s">
        <v>35</v>
      </c>
      <c r="G6" s="19" t="s">
        <v>36</v>
      </c>
      <c r="H6" s="18" t="s">
        <v>37</v>
      </c>
      <c r="I6" s="20" t="s">
        <v>38</v>
      </c>
      <c r="J6" s="20"/>
    </row>
    <row r="7" spans="1:10" ht="15" customHeight="1" x14ac:dyDescent="0.35">
      <c r="A7" s="18">
        <v>2</v>
      </c>
      <c r="B7" s="18" t="s">
        <v>5</v>
      </c>
      <c r="C7" s="19" t="s">
        <v>33</v>
      </c>
      <c r="D7" s="19" t="s">
        <v>34</v>
      </c>
      <c r="E7" s="20"/>
      <c r="F7" s="21" t="s">
        <v>39</v>
      </c>
      <c r="G7" s="19" t="s">
        <v>40</v>
      </c>
      <c r="H7" s="18" t="s">
        <v>37</v>
      </c>
      <c r="I7" s="20" t="s">
        <v>41</v>
      </c>
      <c r="J7" s="20"/>
    </row>
    <row r="8" spans="1:10" ht="15" customHeight="1" x14ac:dyDescent="0.35">
      <c r="A8" s="18">
        <v>3</v>
      </c>
      <c r="B8" s="18" t="s">
        <v>5</v>
      </c>
      <c r="C8" s="19" t="s">
        <v>33</v>
      </c>
      <c r="D8" s="19" t="s">
        <v>34</v>
      </c>
      <c r="E8" s="20"/>
      <c r="F8" s="21" t="s">
        <v>42</v>
      </c>
      <c r="G8" s="19" t="s">
        <v>43</v>
      </c>
      <c r="H8" s="18" t="s">
        <v>37</v>
      </c>
      <c r="I8" s="20" t="s">
        <v>44</v>
      </c>
      <c r="J8" s="20"/>
    </row>
    <row r="9" spans="1:10" ht="15" customHeight="1" x14ac:dyDescent="0.35">
      <c r="A9" s="18">
        <v>4</v>
      </c>
      <c r="B9" s="18" t="s">
        <v>5</v>
      </c>
      <c r="C9" s="19" t="s">
        <v>33</v>
      </c>
      <c r="D9" s="19" t="s">
        <v>34</v>
      </c>
      <c r="E9" s="20"/>
      <c r="F9" s="21" t="s">
        <v>45</v>
      </c>
      <c r="G9" s="19" t="s">
        <v>43</v>
      </c>
      <c r="H9" s="18" t="s">
        <v>46</v>
      </c>
      <c r="I9" s="20" t="s">
        <v>47</v>
      </c>
      <c r="J9" s="20"/>
    </row>
    <row r="10" spans="1:10" ht="15" customHeight="1" x14ac:dyDescent="0.35">
      <c r="A10" s="18">
        <v>5</v>
      </c>
      <c r="B10" s="22" t="s">
        <v>3</v>
      </c>
      <c r="C10" s="19" t="s">
        <v>33</v>
      </c>
      <c r="D10" s="19" t="s">
        <v>48</v>
      </c>
      <c r="E10" s="20"/>
      <c r="F10" s="21" t="s">
        <v>49</v>
      </c>
      <c r="G10" s="19" t="s">
        <v>43</v>
      </c>
      <c r="H10" s="18" t="s">
        <v>50</v>
      </c>
      <c r="I10" s="20" t="s">
        <v>51</v>
      </c>
      <c r="J10" s="20"/>
    </row>
    <row r="11" spans="1:10" ht="15" customHeight="1" x14ac:dyDescent="0.35">
      <c r="A11" s="18">
        <v>6</v>
      </c>
      <c r="B11" s="22" t="s">
        <v>3</v>
      </c>
      <c r="C11" s="19" t="s">
        <v>33</v>
      </c>
      <c r="D11" s="19" t="s">
        <v>48</v>
      </c>
      <c r="E11" s="20"/>
      <c r="F11" s="21" t="s">
        <v>52</v>
      </c>
      <c r="G11" s="19" t="s">
        <v>53</v>
      </c>
      <c r="H11" s="18" t="s">
        <v>50</v>
      </c>
      <c r="I11" s="20" t="s">
        <v>54</v>
      </c>
      <c r="J11" s="20"/>
    </row>
    <row r="12" spans="1:10" ht="15" customHeight="1" x14ac:dyDescent="0.35">
      <c r="A12" s="18">
        <v>7</v>
      </c>
      <c r="B12" s="22" t="s">
        <v>3</v>
      </c>
      <c r="C12" s="19" t="s">
        <v>33</v>
      </c>
      <c r="D12" s="19" t="s">
        <v>48</v>
      </c>
      <c r="E12" s="20"/>
      <c r="F12" s="21" t="s">
        <v>55</v>
      </c>
      <c r="G12" s="19" t="s">
        <v>56</v>
      </c>
      <c r="H12" s="18" t="s">
        <v>57</v>
      </c>
      <c r="I12" s="20" t="s">
        <v>58</v>
      </c>
      <c r="J12" s="20"/>
    </row>
    <row r="13" spans="1:10" ht="15" customHeight="1" x14ac:dyDescent="0.35">
      <c r="A13" s="18">
        <v>8</v>
      </c>
      <c r="B13" s="18" t="s">
        <v>7</v>
      </c>
      <c r="C13" s="19" t="s">
        <v>33</v>
      </c>
      <c r="D13" s="19" t="s">
        <v>48</v>
      </c>
      <c r="E13" s="20"/>
      <c r="F13" s="21" t="s">
        <v>59</v>
      </c>
      <c r="G13" s="19" t="s">
        <v>56</v>
      </c>
      <c r="H13" s="18" t="s">
        <v>57</v>
      </c>
      <c r="I13" s="20" t="s">
        <v>60</v>
      </c>
      <c r="J13" s="20"/>
    </row>
    <row r="14" spans="1:10" ht="23.25" customHeight="1" x14ac:dyDescent="0.35">
      <c r="A14" s="18">
        <v>9</v>
      </c>
      <c r="B14" s="22" t="s">
        <v>3</v>
      </c>
      <c r="C14" s="19" t="s">
        <v>33</v>
      </c>
      <c r="D14" s="19" t="s">
        <v>48</v>
      </c>
      <c r="E14" s="20" t="s">
        <v>61</v>
      </c>
      <c r="F14" s="21" t="s">
        <v>62</v>
      </c>
      <c r="G14" s="19" t="s">
        <v>36</v>
      </c>
      <c r="H14" s="18" t="s">
        <v>37</v>
      </c>
      <c r="I14" s="20" t="s">
        <v>63</v>
      </c>
      <c r="J14" s="20"/>
    </row>
    <row r="15" spans="1:10" ht="23.25" customHeight="1" x14ac:dyDescent="0.35">
      <c r="A15" s="18">
        <v>10</v>
      </c>
      <c r="B15" s="22" t="s">
        <v>3</v>
      </c>
      <c r="C15" s="19" t="s">
        <v>33</v>
      </c>
      <c r="D15" s="19" t="s">
        <v>48</v>
      </c>
      <c r="E15" s="20" t="s">
        <v>61</v>
      </c>
      <c r="F15" s="21" t="s">
        <v>64</v>
      </c>
      <c r="G15" s="19" t="s">
        <v>40</v>
      </c>
      <c r="H15" s="18" t="s">
        <v>37</v>
      </c>
      <c r="I15" s="20" t="s">
        <v>65</v>
      </c>
      <c r="J15" s="20"/>
    </row>
    <row r="16" spans="1:10" ht="23.25" customHeight="1" x14ac:dyDescent="0.35">
      <c r="A16" s="18">
        <v>11</v>
      </c>
      <c r="B16" s="22" t="s">
        <v>3</v>
      </c>
      <c r="C16" s="19" t="s">
        <v>33</v>
      </c>
      <c r="D16" s="19" t="s">
        <v>48</v>
      </c>
      <c r="E16" s="20" t="s">
        <v>61</v>
      </c>
      <c r="F16" s="21" t="s">
        <v>66</v>
      </c>
      <c r="G16" s="19" t="s">
        <v>40</v>
      </c>
      <c r="H16" s="18" t="s">
        <v>37</v>
      </c>
      <c r="I16" s="20" t="s">
        <v>67</v>
      </c>
      <c r="J16" s="20"/>
    </row>
    <row r="17" spans="1:10" ht="23.25" customHeight="1" x14ac:dyDescent="0.35">
      <c r="A17" s="18">
        <v>12</v>
      </c>
      <c r="B17" s="22" t="s">
        <v>3</v>
      </c>
      <c r="C17" s="19" t="s">
        <v>33</v>
      </c>
      <c r="D17" s="19" t="s">
        <v>48</v>
      </c>
      <c r="E17" s="20" t="s">
        <v>61</v>
      </c>
      <c r="F17" s="21" t="s">
        <v>68</v>
      </c>
      <c r="G17" s="19" t="s">
        <v>40</v>
      </c>
      <c r="H17" s="18" t="s">
        <v>37</v>
      </c>
      <c r="I17" s="20" t="s">
        <v>69</v>
      </c>
      <c r="J17" s="20"/>
    </row>
    <row r="18" spans="1:10" ht="15" customHeight="1" x14ac:dyDescent="0.35">
      <c r="A18" s="18">
        <v>13</v>
      </c>
      <c r="B18" s="22" t="s">
        <v>3</v>
      </c>
      <c r="C18" s="19" t="s">
        <v>33</v>
      </c>
      <c r="D18" s="19" t="s">
        <v>48</v>
      </c>
      <c r="E18" s="20" t="s">
        <v>70</v>
      </c>
      <c r="F18" s="21" t="s">
        <v>71</v>
      </c>
      <c r="G18" s="19" t="s">
        <v>36</v>
      </c>
      <c r="H18" s="18" t="s">
        <v>37</v>
      </c>
      <c r="I18" s="20" t="s">
        <v>72</v>
      </c>
      <c r="J18" s="20"/>
    </row>
    <row r="19" spans="1:10" ht="15" customHeight="1" x14ac:dyDescent="0.35">
      <c r="A19" s="18">
        <v>14</v>
      </c>
      <c r="B19" s="22" t="s">
        <v>3</v>
      </c>
      <c r="C19" s="19" t="s">
        <v>33</v>
      </c>
      <c r="D19" s="19" t="s">
        <v>48</v>
      </c>
      <c r="E19" s="20" t="s">
        <v>70</v>
      </c>
      <c r="F19" s="21" t="s">
        <v>73</v>
      </c>
      <c r="G19" s="19" t="s">
        <v>40</v>
      </c>
      <c r="H19" s="18" t="s">
        <v>37</v>
      </c>
      <c r="I19" s="20" t="s">
        <v>74</v>
      </c>
      <c r="J19" s="20"/>
    </row>
    <row r="20" spans="1:10" ht="15" customHeight="1" x14ac:dyDescent="0.35">
      <c r="A20" s="18">
        <v>15</v>
      </c>
      <c r="B20" s="22" t="s">
        <v>3</v>
      </c>
      <c r="C20" s="19" t="s">
        <v>33</v>
      </c>
      <c r="D20" s="19" t="s">
        <v>48</v>
      </c>
      <c r="E20" s="20" t="s">
        <v>70</v>
      </c>
      <c r="F20" s="21" t="s">
        <v>75</v>
      </c>
      <c r="G20" s="19" t="s">
        <v>40</v>
      </c>
      <c r="H20" s="18" t="s">
        <v>37</v>
      </c>
      <c r="I20" s="20" t="s">
        <v>76</v>
      </c>
      <c r="J20" s="20"/>
    </row>
    <row r="21" spans="1:10" ht="15" customHeight="1" x14ac:dyDescent="0.35">
      <c r="A21" s="18">
        <v>16</v>
      </c>
      <c r="B21" s="22" t="s">
        <v>3</v>
      </c>
      <c r="C21" s="19" t="s">
        <v>33</v>
      </c>
      <c r="D21" s="19" t="s">
        <v>48</v>
      </c>
      <c r="E21" s="20" t="s">
        <v>70</v>
      </c>
      <c r="F21" s="21" t="s">
        <v>77</v>
      </c>
      <c r="G21" s="19" t="s">
        <v>40</v>
      </c>
      <c r="H21" s="18" t="s">
        <v>37</v>
      </c>
      <c r="I21" s="20" t="s">
        <v>78</v>
      </c>
      <c r="J21" s="20"/>
    </row>
    <row r="22" spans="1:10" ht="23.25" customHeight="1" x14ac:dyDescent="0.35">
      <c r="A22" s="18">
        <v>17</v>
      </c>
      <c r="B22" s="22" t="s">
        <v>3</v>
      </c>
      <c r="C22" s="19" t="s">
        <v>33</v>
      </c>
      <c r="D22" s="19" t="s">
        <v>48</v>
      </c>
      <c r="E22" s="20"/>
      <c r="F22" s="21" t="s">
        <v>79</v>
      </c>
      <c r="G22" s="19" t="s">
        <v>80</v>
      </c>
      <c r="H22" s="18" t="s">
        <v>50</v>
      </c>
      <c r="I22" s="20" t="s">
        <v>81</v>
      </c>
      <c r="J22" s="20"/>
    </row>
    <row r="23" spans="1:10" ht="23.25" customHeight="1" x14ac:dyDescent="0.35">
      <c r="A23" s="18">
        <v>18</v>
      </c>
      <c r="B23" s="22" t="s">
        <v>3</v>
      </c>
      <c r="C23" s="19" t="s">
        <v>33</v>
      </c>
      <c r="D23" s="19" t="s">
        <v>48</v>
      </c>
      <c r="E23" s="20"/>
      <c r="F23" s="21" t="s">
        <v>82</v>
      </c>
      <c r="G23" s="19" t="s">
        <v>80</v>
      </c>
      <c r="H23" s="18" t="s">
        <v>50</v>
      </c>
      <c r="I23" s="20" t="s">
        <v>81</v>
      </c>
      <c r="J23" s="20"/>
    </row>
    <row r="24" spans="1:10" ht="23.25" customHeight="1" x14ac:dyDescent="0.35">
      <c r="A24" s="18">
        <v>19</v>
      </c>
      <c r="B24" s="22" t="s">
        <v>3</v>
      </c>
      <c r="C24" s="19" t="s">
        <v>33</v>
      </c>
      <c r="D24" s="19" t="s">
        <v>48</v>
      </c>
      <c r="E24" s="20"/>
      <c r="F24" s="21" t="s">
        <v>83</v>
      </c>
      <c r="G24" s="19" t="s">
        <v>80</v>
      </c>
      <c r="H24" s="18" t="s">
        <v>50</v>
      </c>
      <c r="I24" s="20" t="s">
        <v>84</v>
      </c>
      <c r="J24" s="20"/>
    </row>
    <row r="25" spans="1:10" ht="23.25" customHeight="1" x14ac:dyDescent="0.35">
      <c r="A25" s="18">
        <v>20</v>
      </c>
      <c r="B25" s="22" t="s">
        <v>3</v>
      </c>
      <c r="C25" s="19" t="s">
        <v>33</v>
      </c>
      <c r="D25" s="19" t="s">
        <v>48</v>
      </c>
      <c r="E25" s="20"/>
      <c r="F25" s="21" t="s">
        <v>85</v>
      </c>
      <c r="G25" s="19" t="s">
        <v>80</v>
      </c>
      <c r="H25" s="18" t="s">
        <v>50</v>
      </c>
      <c r="I25" s="20" t="s">
        <v>86</v>
      </c>
      <c r="J25" s="20"/>
    </row>
    <row r="26" spans="1:10" ht="23.25" customHeight="1" x14ac:dyDescent="0.35">
      <c r="A26" s="18">
        <v>21</v>
      </c>
      <c r="B26" s="22" t="s">
        <v>3</v>
      </c>
      <c r="C26" s="19" t="s">
        <v>33</v>
      </c>
      <c r="D26" s="19" t="s">
        <v>48</v>
      </c>
      <c r="E26" s="20"/>
      <c r="F26" s="21" t="s">
        <v>87</v>
      </c>
      <c r="G26" s="19" t="s">
        <v>80</v>
      </c>
      <c r="H26" s="18" t="s">
        <v>50</v>
      </c>
      <c r="I26" s="20" t="s">
        <v>88</v>
      </c>
      <c r="J26" s="20"/>
    </row>
    <row r="27" spans="1:10" ht="23.25" customHeight="1" x14ac:dyDescent="0.35">
      <c r="A27" s="18">
        <v>22</v>
      </c>
      <c r="B27" s="22" t="s">
        <v>3</v>
      </c>
      <c r="C27" s="19" t="s">
        <v>33</v>
      </c>
      <c r="D27" s="19" t="s">
        <v>48</v>
      </c>
      <c r="E27" s="20"/>
      <c r="F27" s="21" t="s">
        <v>89</v>
      </c>
      <c r="G27" s="19" t="s">
        <v>80</v>
      </c>
      <c r="H27" s="18" t="s">
        <v>50</v>
      </c>
      <c r="I27" s="20" t="s">
        <v>90</v>
      </c>
      <c r="J27" s="20"/>
    </row>
    <row r="28" spans="1:10" ht="23.25" customHeight="1" x14ac:dyDescent="0.35">
      <c r="A28" s="18">
        <v>23</v>
      </c>
      <c r="B28" s="22" t="s">
        <v>3</v>
      </c>
      <c r="C28" s="19" t="s">
        <v>33</v>
      </c>
      <c r="D28" s="19" t="s">
        <v>48</v>
      </c>
      <c r="E28" s="20"/>
      <c r="F28" s="21" t="s">
        <v>91</v>
      </c>
      <c r="G28" s="19" t="s">
        <v>92</v>
      </c>
      <c r="H28" s="18" t="s">
        <v>50</v>
      </c>
      <c r="I28" s="20" t="s">
        <v>93</v>
      </c>
      <c r="J28" s="20"/>
    </row>
    <row r="29" spans="1:10" ht="23.25" customHeight="1" x14ac:dyDescent="0.35">
      <c r="A29" s="18">
        <v>24</v>
      </c>
      <c r="B29" s="22" t="s">
        <v>3</v>
      </c>
      <c r="C29" s="19" t="s">
        <v>33</v>
      </c>
      <c r="D29" s="19" t="s">
        <v>48</v>
      </c>
      <c r="E29" s="20"/>
      <c r="F29" s="21" t="s">
        <v>94</v>
      </c>
      <c r="G29" s="19" t="s">
        <v>80</v>
      </c>
      <c r="H29" s="18" t="s">
        <v>50</v>
      </c>
      <c r="I29" s="20" t="s">
        <v>95</v>
      </c>
      <c r="J29" s="20"/>
    </row>
    <row r="30" spans="1:10" ht="23.25" customHeight="1" x14ac:dyDescent="0.35">
      <c r="A30" s="18">
        <v>25</v>
      </c>
      <c r="B30" s="22" t="s">
        <v>3</v>
      </c>
      <c r="C30" s="19" t="s">
        <v>33</v>
      </c>
      <c r="D30" s="19" t="s">
        <v>48</v>
      </c>
      <c r="E30" s="20"/>
      <c r="F30" s="21" t="s">
        <v>96</v>
      </c>
      <c r="G30" s="19" t="s">
        <v>92</v>
      </c>
      <c r="H30" s="18" t="s">
        <v>50</v>
      </c>
      <c r="I30" s="20" t="s">
        <v>97</v>
      </c>
      <c r="J30" s="20"/>
    </row>
    <row r="31" spans="1:10" ht="23.25" customHeight="1" x14ac:dyDescent="0.35">
      <c r="A31" s="18">
        <v>26</v>
      </c>
      <c r="B31" s="22" t="s">
        <v>3</v>
      </c>
      <c r="C31" s="19" t="s">
        <v>33</v>
      </c>
      <c r="D31" s="19" t="s">
        <v>48</v>
      </c>
      <c r="E31" s="20"/>
      <c r="F31" s="21" t="s">
        <v>98</v>
      </c>
      <c r="G31" s="19" t="s">
        <v>80</v>
      </c>
      <c r="H31" s="18" t="s">
        <v>50</v>
      </c>
      <c r="I31" s="20" t="s">
        <v>99</v>
      </c>
      <c r="J31" s="20"/>
    </row>
    <row r="32" spans="1:10" ht="23.25" customHeight="1" x14ac:dyDescent="0.35">
      <c r="A32" s="18">
        <v>27</v>
      </c>
      <c r="B32" s="22" t="s">
        <v>3</v>
      </c>
      <c r="C32" s="19" t="s">
        <v>33</v>
      </c>
      <c r="D32" s="19" t="s">
        <v>48</v>
      </c>
      <c r="E32" s="20"/>
      <c r="F32" s="21" t="s">
        <v>100</v>
      </c>
      <c r="G32" s="19" t="s">
        <v>92</v>
      </c>
      <c r="H32" s="18" t="s">
        <v>50</v>
      </c>
      <c r="I32" s="20" t="s">
        <v>101</v>
      </c>
      <c r="J32" s="20"/>
    </row>
    <row r="33" spans="1:10" ht="23.25" customHeight="1" x14ac:dyDescent="0.35">
      <c r="A33" s="18">
        <v>28</v>
      </c>
      <c r="B33" s="22" t="s">
        <v>3</v>
      </c>
      <c r="C33" s="19" t="s">
        <v>33</v>
      </c>
      <c r="D33" s="19" t="s">
        <v>48</v>
      </c>
      <c r="E33" s="20"/>
      <c r="F33" s="21" t="s">
        <v>102</v>
      </c>
      <c r="G33" s="19" t="s">
        <v>80</v>
      </c>
      <c r="H33" s="18" t="s">
        <v>50</v>
      </c>
      <c r="I33" s="20" t="s">
        <v>103</v>
      </c>
      <c r="J33" s="20"/>
    </row>
    <row r="34" spans="1:10" ht="23.25" customHeight="1" x14ac:dyDescent="0.35">
      <c r="A34" s="18">
        <v>29</v>
      </c>
      <c r="B34" s="22" t="s">
        <v>3</v>
      </c>
      <c r="C34" s="19" t="s">
        <v>33</v>
      </c>
      <c r="D34" s="19" t="s">
        <v>48</v>
      </c>
      <c r="E34" s="20"/>
      <c r="F34" s="21" t="s">
        <v>104</v>
      </c>
      <c r="G34" s="19" t="s">
        <v>80</v>
      </c>
      <c r="H34" s="18" t="s">
        <v>50</v>
      </c>
      <c r="I34" s="20" t="s">
        <v>105</v>
      </c>
      <c r="J34" s="20"/>
    </row>
    <row r="35" spans="1:10" ht="23.25" customHeight="1" x14ac:dyDescent="0.35">
      <c r="A35" s="18">
        <v>30</v>
      </c>
      <c r="B35" s="22" t="s">
        <v>3</v>
      </c>
      <c r="C35" s="19" t="s">
        <v>33</v>
      </c>
      <c r="D35" s="19" t="s">
        <v>48</v>
      </c>
      <c r="E35" s="20"/>
      <c r="F35" s="21" t="s">
        <v>106</v>
      </c>
      <c r="G35" s="19" t="s">
        <v>80</v>
      </c>
      <c r="H35" s="18" t="s">
        <v>50</v>
      </c>
      <c r="I35" s="20" t="s">
        <v>107</v>
      </c>
      <c r="J35" s="20"/>
    </row>
    <row r="36" spans="1:10" ht="23.25" customHeight="1" x14ac:dyDescent="0.35">
      <c r="A36" s="18">
        <v>31</v>
      </c>
      <c r="B36" s="22" t="s">
        <v>3</v>
      </c>
      <c r="C36" s="19" t="s">
        <v>33</v>
      </c>
      <c r="D36" s="19" t="s">
        <v>48</v>
      </c>
      <c r="E36" s="20"/>
      <c r="F36" s="21" t="s">
        <v>108</v>
      </c>
      <c r="G36" s="19" t="s">
        <v>80</v>
      </c>
      <c r="H36" s="18" t="s">
        <v>50</v>
      </c>
      <c r="I36" s="20" t="s">
        <v>109</v>
      </c>
      <c r="J36" s="20"/>
    </row>
    <row r="37" spans="1:10" ht="23.25" customHeight="1" x14ac:dyDescent="0.35">
      <c r="A37" s="18">
        <v>32</v>
      </c>
      <c r="B37" s="22" t="s">
        <v>3</v>
      </c>
      <c r="C37" s="19" t="s">
        <v>33</v>
      </c>
      <c r="D37" s="19" t="s">
        <v>48</v>
      </c>
      <c r="E37" s="20"/>
      <c r="F37" s="21" t="s">
        <v>110</v>
      </c>
      <c r="G37" s="19" t="s">
        <v>80</v>
      </c>
      <c r="H37" s="18" t="s">
        <v>50</v>
      </c>
      <c r="I37" s="20" t="s">
        <v>111</v>
      </c>
      <c r="J37" s="20"/>
    </row>
    <row r="38" spans="1:10" ht="23.25" customHeight="1" x14ac:dyDescent="0.35">
      <c r="A38" s="18">
        <v>33</v>
      </c>
      <c r="B38" s="22" t="s">
        <v>3</v>
      </c>
      <c r="C38" s="19" t="s">
        <v>33</v>
      </c>
      <c r="D38" s="19" t="s">
        <v>48</v>
      </c>
      <c r="E38" s="20"/>
      <c r="F38" s="21" t="s">
        <v>112</v>
      </c>
      <c r="G38" s="19" t="s">
        <v>80</v>
      </c>
      <c r="H38" s="18" t="s">
        <v>50</v>
      </c>
      <c r="I38" s="20" t="s">
        <v>111</v>
      </c>
      <c r="J38" s="20"/>
    </row>
    <row r="39" spans="1:10" ht="23.25" customHeight="1" x14ac:dyDescent="0.35">
      <c r="A39" s="18">
        <v>34</v>
      </c>
      <c r="B39" s="22" t="s">
        <v>3</v>
      </c>
      <c r="C39" s="19" t="s">
        <v>33</v>
      </c>
      <c r="D39" s="19" t="s">
        <v>48</v>
      </c>
      <c r="E39" s="20"/>
      <c r="F39" s="21" t="s">
        <v>113</v>
      </c>
      <c r="G39" s="19" t="s">
        <v>80</v>
      </c>
      <c r="H39" s="18" t="s">
        <v>50</v>
      </c>
      <c r="I39" s="20" t="s">
        <v>114</v>
      </c>
      <c r="J39" s="20"/>
    </row>
    <row r="40" spans="1:10" ht="23.25" customHeight="1" x14ac:dyDescent="0.35">
      <c r="A40" s="18">
        <v>35</v>
      </c>
      <c r="B40" s="22" t="s">
        <v>3</v>
      </c>
      <c r="C40" s="19" t="s">
        <v>33</v>
      </c>
      <c r="D40" s="19" t="s">
        <v>48</v>
      </c>
      <c r="E40" s="20"/>
      <c r="F40" s="21" t="s">
        <v>115</v>
      </c>
      <c r="G40" s="19" t="s">
        <v>80</v>
      </c>
      <c r="H40" s="18" t="s">
        <v>50</v>
      </c>
      <c r="I40" s="20" t="s">
        <v>116</v>
      </c>
      <c r="J40" s="20"/>
    </row>
    <row r="41" spans="1:10" ht="23.25" customHeight="1" x14ac:dyDescent="0.35">
      <c r="A41" s="18">
        <v>36</v>
      </c>
      <c r="B41" s="22" t="s">
        <v>3</v>
      </c>
      <c r="C41" s="19" t="s">
        <v>33</v>
      </c>
      <c r="D41" s="19" t="s">
        <v>48</v>
      </c>
      <c r="E41" s="20"/>
      <c r="F41" s="21" t="s">
        <v>117</v>
      </c>
      <c r="G41" s="19" t="s">
        <v>80</v>
      </c>
      <c r="H41" s="18" t="s">
        <v>50</v>
      </c>
      <c r="I41" s="20" t="s">
        <v>118</v>
      </c>
      <c r="J41" s="20"/>
    </row>
    <row r="42" spans="1:10" ht="23.25" customHeight="1" x14ac:dyDescent="0.35">
      <c r="A42" s="18">
        <v>37</v>
      </c>
      <c r="B42" s="22" t="s">
        <v>3</v>
      </c>
      <c r="C42" s="19" t="s">
        <v>33</v>
      </c>
      <c r="D42" s="19" t="s">
        <v>48</v>
      </c>
      <c r="E42" s="20"/>
      <c r="F42" s="21" t="s">
        <v>119</v>
      </c>
      <c r="G42" s="19" t="s">
        <v>80</v>
      </c>
      <c r="H42" s="18" t="s">
        <v>50</v>
      </c>
      <c r="I42" s="20" t="s">
        <v>120</v>
      </c>
      <c r="J42" s="20"/>
    </row>
    <row r="43" spans="1:10" ht="23.25" customHeight="1" x14ac:dyDescent="0.35">
      <c r="A43" s="18">
        <v>38</v>
      </c>
      <c r="B43" s="22" t="s">
        <v>3</v>
      </c>
      <c r="C43" s="19" t="s">
        <v>33</v>
      </c>
      <c r="D43" s="19" t="s">
        <v>48</v>
      </c>
      <c r="E43" s="20"/>
      <c r="F43" s="21" t="s">
        <v>121</v>
      </c>
      <c r="G43" s="19" t="s">
        <v>92</v>
      </c>
      <c r="H43" s="18" t="s">
        <v>50</v>
      </c>
      <c r="I43" s="20" t="s">
        <v>122</v>
      </c>
      <c r="J43" s="20"/>
    </row>
    <row r="44" spans="1:10" ht="23.25" customHeight="1" x14ac:dyDescent="0.35">
      <c r="A44" s="18">
        <v>39</v>
      </c>
      <c r="B44" s="22" t="s">
        <v>3</v>
      </c>
      <c r="C44" s="19" t="s">
        <v>33</v>
      </c>
      <c r="D44" s="19" t="s">
        <v>48</v>
      </c>
      <c r="E44" s="20"/>
      <c r="F44" s="21" t="s">
        <v>123</v>
      </c>
      <c r="G44" s="19" t="s">
        <v>80</v>
      </c>
      <c r="H44" s="18" t="s">
        <v>50</v>
      </c>
      <c r="I44" s="20" t="s">
        <v>124</v>
      </c>
      <c r="J44" s="20"/>
    </row>
    <row r="45" spans="1:10" ht="23.25" customHeight="1" x14ac:dyDescent="0.35">
      <c r="A45" s="18">
        <v>40</v>
      </c>
      <c r="B45" s="22" t="s">
        <v>3</v>
      </c>
      <c r="C45" s="19" t="s">
        <v>33</v>
      </c>
      <c r="D45" s="19" t="s">
        <v>48</v>
      </c>
      <c r="E45" s="20"/>
      <c r="F45" s="21" t="s">
        <v>125</v>
      </c>
      <c r="G45" s="19" t="s">
        <v>92</v>
      </c>
      <c r="H45" s="18" t="s">
        <v>50</v>
      </c>
      <c r="I45" s="20" t="s">
        <v>126</v>
      </c>
      <c r="J45" s="20"/>
    </row>
    <row r="46" spans="1:10" ht="23.25" customHeight="1" x14ac:dyDescent="0.35">
      <c r="A46" s="18">
        <v>41</v>
      </c>
      <c r="B46" s="22" t="s">
        <v>3</v>
      </c>
      <c r="C46" s="19" t="s">
        <v>33</v>
      </c>
      <c r="D46" s="19" t="s">
        <v>48</v>
      </c>
      <c r="E46" s="20"/>
      <c r="F46" s="21" t="s">
        <v>127</v>
      </c>
      <c r="G46" s="19" t="s">
        <v>80</v>
      </c>
      <c r="H46" s="18" t="s">
        <v>50</v>
      </c>
      <c r="I46" s="20" t="s">
        <v>128</v>
      </c>
      <c r="J46" s="20"/>
    </row>
    <row r="47" spans="1:10" ht="23.25" customHeight="1" x14ac:dyDescent="0.35">
      <c r="A47" s="18">
        <v>42</v>
      </c>
      <c r="B47" s="22" t="s">
        <v>3</v>
      </c>
      <c r="C47" s="19" t="s">
        <v>33</v>
      </c>
      <c r="D47" s="19" t="s">
        <v>48</v>
      </c>
      <c r="E47" s="20"/>
      <c r="F47" s="21" t="s">
        <v>129</v>
      </c>
      <c r="G47" s="19" t="s">
        <v>92</v>
      </c>
      <c r="H47" s="18" t="s">
        <v>50</v>
      </c>
      <c r="I47" s="20" t="s">
        <v>130</v>
      </c>
      <c r="J47" s="20"/>
    </row>
    <row r="48" spans="1:10" ht="23.25" customHeight="1" x14ac:dyDescent="0.35">
      <c r="A48" s="18">
        <v>43</v>
      </c>
      <c r="B48" s="22" t="s">
        <v>3</v>
      </c>
      <c r="C48" s="19" t="s">
        <v>33</v>
      </c>
      <c r="D48" s="19" t="s">
        <v>48</v>
      </c>
      <c r="E48" s="20"/>
      <c r="F48" s="21" t="s">
        <v>131</v>
      </c>
      <c r="G48" s="19" t="s">
        <v>80</v>
      </c>
      <c r="H48" s="18" t="s">
        <v>50</v>
      </c>
      <c r="I48" s="20" t="s">
        <v>132</v>
      </c>
      <c r="J48" s="20"/>
    </row>
    <row r="49" spans="1:10" ht="23.25" customHeight="1" x14ac:dyDescent="0.35">
      <c r="A49" s="18">
        <v>44</v>
      </c>
      <c r="B49" s="22" t="s">
        <v>3</v>
      </c>
      <c r="C49" s="19" t="s">
        <v>33</v>
      </c>
      <c r="D49" s="19" t="s">
        <v>48</v>
      </c>
      <c r="E49" s="20"/>
      <c r="F49" s="21" t="s">
        <v>133</v>
      </c>
      <c r="G49" s="19" t="s">
        <v>80</v>
      </c>
      <c r="H49" s="18" t="s">
        <v>50</v>
      </c>
      <c r="I49" s="20" t="s">
        <v>134</v>
      </c>
      <c r="J49" s="20"/>
    </row>
    <row r="50" spans="1:10" ht="23.25" customHeight="1" x14ac:dyDescent="0.35">
      <c r="A50" s="18">
        <v>45</v>
      </c>
      <c r="B50" s="22" t="s">
        <v>3</v>
      </c>
      <c r="C50" s="19" t="s">
        <v>33</v>
      </c>
      <c r="D50" s="19" t="s">
        <v>48</v>
      </c>
      <c r="E50" s="20"/>
      <c r="F50" s="21" t="s">
        <v>135</v>
      </c>
      <c r="G50" s="19" t="s">
        <v>80</v>
      </c>
      <c r="H50" s="18" t="s">
        <v>50</v>
      </c>
      <c r="I50" s="20" t="s">
        <v>136</v>
      </c>
      <c r="J50" s="20"/>
    </row>
    <row r="51" spans="1:10" ht="23.25" customHeight="1" x14ac:dyDescent="0.35">
      <c r="A51" s="18">
        <v>46</v>
      </c>
      <c r="B51" s="22" t="s">
        <v>3</v>
      </c>
      <c r="C51" s="19" t="s">
        <v>33</v>
      </c>
      <c r="D51" s="19" t="s">
        <v>48</v>
      </c>
      <c r="E51" s="20"/>
      <c r="F51" s="21" t="s">
        <v>137</v>
      </c>
      <c r="G51" s="19" t="s">
        <v>80</v>
      </c>
      <c r="H51" s="18" t="s">
        <v>50</v>
      </c>
      <c r="I51" s="20" t="s">
        <v>138</v>
      </c>
      <c r="J51" s="20"/>
    </row>
    <row r="52" spans="1:10" ht="23.25" customHeight="1" x14ac:dyDescent="0.35">
      <c r="A52" s="18">
        <v>47</v>
      </c>
      <c r="B52" s="22" t="s">
        <v>3</v>
      </c>
      <c r="C52" s="19" t="s">
        <v>33</v>
      </c>
      <c r="D52" s="19" t="s">
        <v>48</v>
      </c>
      <c r="E52" s="20"/>
      <c r="F52" s="21" t="s">
        <v>139</v>
      </c>
      <c r="G52" s="19" t="s">
        <v>80</v>
      </c>
      <c r="H52" s="18" t="s">
        <v>50</v>
      </c>
      <c r="I52" s="20" t="s">
        <v>140</v>
      </c>
      <c r="J52" s="20"/>
    </row>
    <row r="53" spans="1:10" ht="23.25" customHeight="1" x14ac:dyDescent="0.35">
      <c r="A53" s="18">
        <v>48</v>
      </c>
      <c r="B53" s="22" t="s">
        <v>3</v>
      </c>
      <c r="C53" s="19" t="s">
        <v>33</v>
      </c>
      <c r="D53" s="19" t="s">
        <v>48</v>
      </c>
      <c r="E53" s="20"/>
      <c r="F53" s="21" t="s">
        <v>141</v>
      </c>
      <c r="G53" s="19" t="s">
        <v>80</v>
      </c>
      <c r="H53" s="18" t="s">
        <v>50</v>
      </c>
      <c r="I53" s="20" t="s">
        <v>140</v>
      </c>
      <c r="J53" s="20"/>
    </row>
    <row r="54" spans="1:10" ht="23.25" customHeight="1" x14ac:dyDescent="0.35">
      <c r="A54" s="18">
        <v>49</v>
      </c>
      <c r="B54" s="22" t="s">
        <v>3</v>
      </c>
      <c r="C54" s="19" t="s">
        <v>33</v>
      </c>
      <c r="D54" s="19" t="s">
        <v>48</v>
      </c>
      <c r="E54" s="20"/>
      <c r="F54" s="21" t="s">
        <v>142</v>
      </c>
      <c r="G54" s="19" t="s">
        <v>80</v>
      </c>
      <c r="H54" s="18" t="s">
        <v>50</v>
      </c>
      <c r="I54" s="20" t="s">
        <v>143</v>
      </c>
      <c r="J54" s="20"/>
    </row>
    <row r="55" spans="1:10" ht="23.25" customHeight="1" x14ac:dyDescent="0.35">
      <c r="A55" s="18">
        <v>50</v>
      </c>
      <c r="B55" s="22" t="s">
        <v>3</v>
      </c>
      <c r="C55" s="19" t="s">
        <v>33</v>
      </c>
      <c r="D55" s="19" t="s">
        <v>48</v>
      </c>
      <c r="E55" s="20"/>
      <c r="F55" s="21" t="s">
        <v>144</v>
      </c>
      <c r="G55" s="19" t="s">
        <v>80</v>
      </c>
      <c r="H55" s="18" t="s">
        <v>50</v>
      </c>
      <c r="I55" s="20" t="s">
        <v>145</v>
      </c>
      <c r="J55" s="20"/>
    </row>
    <row r="56" spans="1:10" ht="23.25" customHeight="1" x14ac:dyDescent="0.35">
      <c r="A56" s="18">
        <v>51</v>
      </c>
      <c r="B56" s="22" t="s">
        <v>3</v>
      </c>
      <c r="C56" s="19" t="s">
        <v>33</v>
      </c>
      <c r="D56" s="19" t="s">
        <v>48</v>
      </c>
      <c r="E56" s="20"/>
      <c r="F56" s="21" t="s">
        <v>146</v>
      </c>
      <c r="G56" s="19" t="s">
        <v>80</v>
      </c>
      <c r="H56" s="18" t="s">
        <v>50</v>
      </c>
      <c r="I56" s="20" t="s">
        <v>147</v>
      </c>
      <c r="J56" s="20"/>
    </row>
    <row r="57" spans="1:10" ht="23.25" customHeight="1" x14ac:dyDescent="0.35">
      <c r="A57" s="18">
        <v>52</v>
      </c>
      <c r="B57" s="22" t="s">
        <v>3</v>
      </c>
      <c r="C57" s="19" t="s">
        <v>33</v>
      </c>
      <c r="D57" s="19" t="s">
        <v>48</v>
      </c>
      <c r="E57" s="20"/>
      <c r="F57" s="21" t="s">
        <v>148</v>
      </c>
      <c r="G57" s="19" t="s">
        <v>80</v>
      </c>
      <c r="H57" s="18" t="s">
        <v>50</v>
      </c>
      <c r="I57" s="20" t="s">
        <v>149</v>
      </c>
      <c r="J57" s="20"/>
    </row>
    <row r="58" spans="1:10" ht="23.25" customHeight="1" x14ac:dyDescent="0.35">
      <c r="A58" s="18">
        <v>53</v>
      </c>
      <c r="B58" s="22" t="s">
        <v>3</v>
      </c>
      <c r="C58" s="19" t="s">
        <v>33</v>
      </c>
      <c r="D58" s="19" t="s">
        <v>48</v>
      </c>
      <c r="E58" s="20"/>
      <c r="F58" s="21" t="s">
        <v>150</v>
      </c>
      <c r="G58" s="19" t="s">
        <v>92</v>
      </c>
      <c r="H58" s="18" t="s">
        <v>50</v>
      </c>
      <c r="I58" s="20" t="s">
        <v>151</v>
      </c>
      <c r="J58" s="20"/>
    </row>
    <row r="59" spans="1:10" ht="23.25" customHeight="1" x14ac:dyDescent="0.35">
      <c r="A59" s="18">
        <v>54</v>
      </c>
      <c r="B59" s="22" t="s">
        <v>3</v>
      </c>
      <c r="C59" s="19" t="s">
        <v>33</v>
      </c>
      <c r="D59" s="19" t="s">
        <v>48</v>
      </c>
      <c r="E59" s="20"/>
      <c r="F59" s="21" t="s">
        <v>152</v>
      </c>
      <c r="G59" s="19" t="s">
        <v>80</v>
      </c>
      <c r="H59" s="18" t="s">
        <v>50</v>
      </c>
      <c r="I59" s="20" t="s">
        <v>153</v>
      </c>
      <c r="J59" s="20"/>
    </row>
    <row r="60" spans="1:10" ht="23.25" customHeight="1" x14ac:dyDescent="0.35">
      <c r="A60" s="18">
        <v>55</v>
      </c>
      <c r="B60" s="22" t="s">
        <v>3</v>
      </c>
      <c r="C60" s="19" t="s">
        <v>33</v>
      </c>
      <c r="D60" s="19" t="s">
        <v>48</v>
      </c>
      <c r="E60" s="20"/>
      <c r="F60" s="21" t="s">
        <v>154</v>
      </c>
      <c r="G60" s="19" t="s">
        <v>92</v>
      </c>
      <c r="H60" s="18" t="s">
        <v>50</v>
      </c>
      <c r="I60" s="20" t="s">
        <v>155</v>
      </c>
      <c r="J60" s="20"/>
    </row>
    <row r="61" spans="1:10" ht="23.25" customHeight="1" x14ac:dyDescent="0.35">
      <c r="A61" s="18">
        <v>56</v>
      </c>
      <c r="B61" s="22" t="s">
        <v>3</v>
      </c>
      <c r="C61" s="19" t="s">
        <v>33</v>
      </c>
      <c r="D61" s="19" t="s">
        <v>48</v>
      </c>
      <c r="E61" s="20"/>
      <c r="F61" s="21" t="s">
        <v>156</v>
      </c>
      <c r="G61" s="19" t="s">
        <v>80</v>
      </c>
      <c r="H61" s="18" t="s">
        <v>50</v>
      </c>
      <c r="I61" s="20" t="s">
        <v>157</v>
      </c>
      <c r="J61" s="20"/>
    </row>
    <row r="62" spans="1:10" ht="23.25" customHeight="1" x14ac:dyDescent="0.35">
      <c r="A62" s="18">
        <v>57</v>
      </c>
      <c r="B62" s="22" t="s">
        <v>3</v>
      </c>
      <c r="C62" s="19" t="s">
        <v>33</v>
      </c>
      <c r="D62" s="19" t="s">
        <v>48</v>
      </c>
      <c r="E62" s="20"/>
      <c r="F62" s="21" t="s">
        <v>158</v>
      </c>
      <c r="G62" s="19" t="s">
        <v>92</v>
      </c>
      <c r="H62" s="18" t="s">
        <v>50</v>
      </c>
      <c r="I62" s="20" t="s">
        <v>159</v>
      </c>
      <c r="J62" s="20"/>
    </row>
    <row r="63" spans="1:10" ht="23.25" customHeight="1" x14ac:dyDescent="0.35">
      <c r="A63" s="18">
        <v>58</v>
      </c>
      <c r="B63" s="22" t="s">
        <v>3</v>
      </c>
      <c r="C63" s="19" t="s">
        <v>33</v>
      </c>
      <c r="D63" s="19" t="s">
        <v>48</v>
      </c>
      <c r="E63" s="20"/>
      <c r="F63" s="21" t="s">
        <v>160</v>
      </c>
      <c r="G63" s="19" t="s">
        <v>80</v>
      </c>
      <c r="H63" s="18" t="s">
        <v>50</v>
      </c>
      <c r="I63" s="20" t="s">
        <v>161</v>
      </c>
      <c r="J63" s="20"/>
    </row>
    <row r="64" spans="1:10" ht="23.25" customHeight="1" x14ac:dyDescent="0.35">
      <c r="A64" s="18">
        <v>59</v>
      </c>
      <c r="B64" s="22" t="s">
        <v>3</v>
      </c>
      <c r="C64" s="19" t="s">
        <v>33</v>
      </c>
      <c r="D64" s="19" t="s">
        <v>48</v>
      </c>
      <c r="E64" s="20"/>
      <c r="F64" s="21" t="s">
        <v>162</v>
      </c>
      <c r="G64" s="19" t="s">
        <v>80</v>
      </c>
      <c r="H64" s="18" t="s">
        <v>50</v>
      </c>
      <c r="I64" s="20" t="s">
        <v>163</v>
      </c>
      <c r="J64" s="20"/>
    </row>
    <row r="65" spans="1:10" ht="23.25" customHeight="1" x14ac:dyDescent="0.35">
      <c r="A65" s="18">
        <v>60</v>
      </c>
      <c r="B65" s="22" t="s">
        <v>3</v>
      </c>
      <c r="C65" s="19" t="s">
        <v>33</v>
      </c>
      <c r="D65" s="19" t="s">
        <v>48</v>
      </c>
      <c r="E65" s="20"/>
      <c r="F65" s="21" t="s">
        <v>164</v>
      </c>
      <c r="G65" s="19" t="s">
        <v>80</v>
      </c>
      <c r="H65" s="18" t="s">
        <v>50</v>
      </c>
      <c r="I65" s="20" t="s">
        <v>165</v>
      </c>
      <c r="J65" s="20"/>
    </row>
    <row r="66" spans="1:10" ht="23.25" customHeight="1" x14ac:dyDescent="0.35">
      <c r="A66" s="18">
        <v>61</v>
      </c>
      <c r="B66" s="22" t="s">
        <v>3</v>
      </c>
      <c r="C66" s="19" t="s">
        <v>33</v>
      </c>
      <c r="D66" s="19" t="s">
        <v>48</v>
      </c>
      <c r="E66" s="20"/>
      <c r="F66" s="21" t="s">
        <v>166</v>
      </c>
      <c r="G66" s="19" t="s">
        <v>80</v>
      </c>
      <c r="H66" s="18" t="s">
        <v>50</v>
      </c>
      <c r="I66" s="20" t="s">
        <v>167</v>
      </c>
      <c r="J66" s="20"/>
    </row>
    <row r="67" spans="1:10" ht="23.25" customHeight="1" x14ac:dyDescent="0.35">
      <c r="A67" s="18">
        <v>62</v>
      </c>
      <c r="B67" s="22" t="s">
        <v>3</v>
      </c>
      <c r="C67" s="19" t="s">
        <v>33</v>
      </c>
      <c r="D67" s="19" t="s">
        <v>48</v>
      </c>
      <c r="E67" s="20"/>
      <c r="F67" s="21" t="s">
        <v>168</v>
      </c>
      <c r="G67" s="19" t="s">
        <v>80</v>
      </c>
      <c r="H67" s="18" t="s">
        <v>50</v>
      </c>
      <c r="I67" s="20" t="s">
        <v>169</v>
      </c>
      <c r="J67" s="20"/>
    </row>
    <row r="68" spans="1:10" ht="23.25" customHeight="1" x14ac:dyDescent="0.35">
      <c r="A68" s="18">
        <v>63</v>
      </c>
      <c r="B68" s="22" t="s">
        <v>3</v>
      </c>
      <c r="C68" s="19" t="s">
        <v>33</v>
      </c>
      <c r="D68" s="19" t="s">
        <v>48</v>
      </c>
      <c r="E68" s="20"/>
      <c r="F68" s="21" t="s">
        <v>170</v>
      </c>
      <c r="G68" s="19" t="s">
        <v>80</v>
      </c>
      <c r="H68" s="18" t="s">
        <v>50</v>
      </c>
      <c r="I68" s="20" t="s">
        <v>169</v>
      </c>
      <c r="J68" s="20"/>
    </row>
    <row r="69" spans="1:10" ht="23.25" customHeight="1" x14ac:dyDescent="0.35">
      <c r="A69" s="18">
        <v>64</v>
      </c>
      <c r="B69" s="22" t="s">
        <v>3</v>
      </c>
      <c r="C69" s="19" t="s">
        <v>33</v>
      </c>
      <c r="D69" s="19" t="s">
        <v>48</v>
      </c>
      <c r="E69" s="20"/>
      <c r="F69" s="21" t="s">
        <v>171</v>
      </c>
      <c r="G69" s="19" t="s">
        <v>80</v>
      </c>
      <c r="H69" s="18" t="s">
        <v>50</v>
      </c>
      <c r="I69" s="20" t="s">
        <v>172</v>
      </c>
      <c r="J69" s="20"/>
    </row>
    <row r="70" spans="1:10" ht="23.25" customHeight="1" x14ac:dyDescent="0.35">
      <c r="A70" s="18">
        <v>65</v>
      </c>
      <c r="B70" s="22" t="s">
        <v>3</v>
      </c>
      <c r="C70" s="19" t="s">
        <v>33</v>
      </c>
      <c r="D70" s="19" t="s">
        <v>48</v>
      </c>
      <c r="E70" s="20"/>
      <c r="F70" s="21" t="s">
        <v>173</v>
      </c>
      <c r="G70" s="19" t="s">
        <v>80</v>
      </c>
      <c r="H70" s="18" t="s">
        <v>50</v>
      </c>
      <c r="I70" s="20" t="s">
        <v>174</v>
      </c>
      <c r="J70" s="20"/>
    </row>
    <row r="71" spans="1:10" ht="23.25" customHeight="1" x14ac:dyDescent="0.35">
      <c r="A71" s="18">
        <v>66</v>
      </c>
      <c r="B71" s="22" t="s">
        <v>3</v>
      </c>
      <c r="C71" s="19" t="s">
        <v>33</v>
      </c>
      <c r="D71" s="19" t="s">
        <v>48</v>
      </c>
      <c r="E71" s="20"/>
      <c r="F71" s="21" t="s">
        <v>175</v>
      </c>
      <c r="G71" s="19" t="s">
        <v>80</v>
      </c>
      <c r="H71" s="18" t="s">
        <v>50</v>
      </c>
      <c r="I71" s="20" t="s">
        <v>176</v>
      </c>
      <c r="J71" s="20"/>
    </row>
    <row r="72" spans="1:10" ht="23.25" customHeight="1" x14ac:dyDescent="0.35">
      <c r="A72" s="18">
        <v>67</v>
      </c>
      <c r="B72" s="22" t="s">
        <v>3</v>
      </c>
      <c r="C72" s="19" t="s">
        <v>33</v>
      </c>
      <c r="D72" s="19" t="s">
        <v>48</v>
      </c>
      <c r="E72" s="20"/>
      <c r="F72" s="21" t="s">
        <v>177</v>
      </c>
      <c r="G72" s="19" t="s">
        <v>80</v>
      </c>
      <c r="H72" s="18" t="s">
        <v>50</v>
      </c>
      <c r="I72" s="20" t="s">
        <v>178</v>
      </c>
      <c r="J72" s="20"/>
    </row>
    <row r="73" spans="1:10" ht="23.25" customHeight="1" x14ac:dyDescent="0.35">
      <c r="A73" s="18">
        <v>68</v>
      </c>
      <c r="B73" s="22" t="s">
        <v>3</v>
      </c>
      <c r="C73" s="19" t="s">
        <v>33</v>
      </c>
      <c r="D73" s="19" t="s">
        <v>48</v>
      </c>
      <c r="E73" s="20"/>
      <c r="F73" s="21" t="s">
        <v>179</v>
      </c>
      <c r="G73" s="19" t="s">
        <v>92</v>
      </c>
      <c r="H73" s="18" t="s">
        <v>50</v>
      </c>
      <c r="I73" s="20" t="s">
        <v>180</v>
      </c>
      <c r="J73" s="20"/>
    </row>
    <row r="74" spans="1:10" ht="23.25" customHeight="1" x14ac:dyDescent="0.35">
      <c r="A74" s="18">
        <v>69</v>
      </c>
      <c r="B74" s="22" t="s">
        <v>3</v>
      </c>
      <c r="C74" s="19" t="s">
        <v>33</v>
      </c>
      <c r="D74" s="19" t="s">
        <v>48</v>
      </c>
      <c r="E74" s="20"/>
      <c r="F74" s="21" t="s">
        <v>181</v>
      </c>
      <c r="G74" s="19" t="s">
        <v>80</v>
      </c>
      <c r="H74" s="18" t="s">
        <v>50</v>
      </c>
      <c r="I74" s="20" t="s">
        <v>182</v>
      </c>
      <c r="J74" s="20"/>
    </row>
    <row r="75" spans="1:10" ht="23.25" customHeight="1" x14ac:dyDescent="0.35">
      <c r="A75" s="18">
        <v>70</v>
      </c>
      <c r="B75" s="22" t="s">
        <v>3</v>
      </c>
      <c r="C75" s="19" t="s">
        <v>33</v>
      </c>
      <c r="D75" s="19" t="s">
        <v>48</v>
      </c>
      <c r="E75" s="20"/>
      <c r="F75" s="21" t="s">
        <v>183</v>
      </c>
      <c r="G75" s="19" t="s">
        <v>92</v>
      </c>
      <c r="H75" s="18" t="s">
        <v>50</v>
      </c>
      <c r="I75" s="20" t="s">
        <v>184</v>
      </c>
      <c r="J75" s="20"/>
    </row>
    <row r="76" spans="1:10" ht="23.25" customHeight="1" x14ac:dyDescent="0.35">
      <c r="A76" s="18">
        <v>71</v>
      </c>
      <c r="B76" s="22" t="s">
        <v>3</v>
      </c>
      <c r="C76" s="19" t="s">
        <v>33</v>
      </c>
      <c r="D76" s="19" t="s">
        <v>48</v>
      </c>
      <c r="E76" s="20"/>
      <c r="F76" s="21" t="s">
        <v>185</v>
      </c>
      <c r="G76" s="19" t="s">
        <v>80</v>
      </c>
      <c r="H76" s="18" t="s">
        <v>50</v>
      </c>
      <c r="I76" s="20" t="s">
        <v>186</v>
      </c>
      <c r="J76" s="20"/>
    </row>
    <row r="77" spans="1:10" ht="23.25" customHeight="1" x14ac:dyDescent="0.35">
      <c r="A77" s="18">
        <v>72</v>
      </c>
      <c r="B77" s="22" t="s">
        <v>3</v>
      </c>
      <c r="C77" s="19" t="s">
        <v>33</v>
      </c>
      <c r="D77" s="19" t="s">
        <v>48</v>
      </c>
      <c r="E77" s="20"/>
      <c r="F77" s="21" t="s">
        <v>187</v>
      </c>
      <c r="G77" s="19" t="s">
        <v>92</v>
      </c>
      <c r="H77" s="18" t="s">
        <v>50</v>
      </c>
      <c r="I77" s="20" t="s">
        <v>188</v>
      </c>
      <c r="J77" s="20"/>
    </row>
    <row r="78" spans="1:10" ht="23.25" customHeight="1" x14ac:dyDescent="0.35">
      <c r="A78" s="18">
        <v>73</v>
      </c>
      <c r="B78" s="22" t="s">
        <v>3</v>
      </c>
      <c r="C78" s="19" t="s">
        <v>33</v>
      </c>
      <c r="D78" s="19" t="s">
        <v>48</v>
      </c>
      <c r="E78" s="20"/>
      <c r="F78" s="21" t="s">
        <v>189</v>
      </c>
      <c r="G78" s="19" t="s">
        <v>80</v>
      </c>
      <c r="H78" s="18" t="s">
        <v>50</v>
      </c>
      <c r="I78" s="20" t="s">
        <v>190</v>
      </c>
      <c r="J78" s="20"/>
    </row>
    <row r="79" spans="1:10" ht="23.25" customHeight="1" x14ac:dyDescent="0.35">
      <c r="A79" s="18">
        <v>74</v>
      </c>
      <c r="B79" s="22" t="s">
        <v>3</v>
      </c>
      <c r="C79" s="19" t="s">
        <v>33</v>
      </c>
      <c r="D79" s="19" t="s">
        <v>48</v>
      </c>
      <c r="E79" s="20"/>
      <c r="F79" s="21" t="s">
        <v>191</v>
      </c>
      <c r="G79" s="19" t="s">
        <v>80</v>
      </c>
      <c r="H79" s="18" t="s">
        <v>50</v>
      </c>
      <c r="I79" s="20" t="s">
        <v>192</v>
      </c>
      <c r="J79" s="20"/>
    </row>
    <row r="80" spans="1:10" ht="23.25" customHeight="1" x14ac:dyDescent="0.35">
      <c r="A80" s="18">
        <v>75</v>
      </c>
      <c r="B80" s="22" t="s">
        <v>3</v>
      </c>
      <c r="C80" s="19" t="s">
        <v>33</v>
      </c>
      <c r="D80" s="19" t="s">
        <v>48</v>
      </c>
      <c r="E80" s="20"/>
      <c r="F80" s="21" t="s">
        <v>193</v>
      </c>
      <c r="G80" s="19" t="s">
        <v>80</v>
      </c>
      <c r="H80" s="18" t="s">
        <v>50</v>
      </c>
      <c r="I80" s="20" t="s">
        <v>194</v>
      </c>
      <c r="J80" s="20"/>
    </row>
    <row r="81" spans="1:10" ht="23.25" customHeight="1" x14ac:dyDescent="0.35">
      <c r="A81" s="18">
        <v>76</v>
      </c>
      <c r="B81" s="22" t="s">
        <v>3</v>
      </c>
      <c r="C81" s="19" t="s">
        <v>33</v>
      </c>
      <c r="D81" s="19" t="s">
        <v>48</v>
      </c>
      <c r="E81" s="20"/>
      <c r="F81" s="21" t="s">
        <v>195</v>
      </c>
      <c r="G81" s="19" t="s">
        <v>80</v>
      </c>
      <c r="H81" s="18" t="s">
        <v>50</v>
      </c>
      <c r="I81" s="20" t="s">
        <v>196</v>
      </c>
      <c r="J81" s="20"/>
    </row>
    <row r="82" spans="1:10" ht="23.25" customHeight="1" x14ac:dyDescent="0.35">
      <c r="A82" s="18">
        <v>77</v>
      </c>
      <c r="B82" s="22" t="s">
        <v>3</v>
      </c>
      <c r="C82" s="19" t="s">
        <v>33</v>
      </c>
      <c r="D82" s="19" t="s">
        <v>48</v>
      </c>
      <c r="E82" s="20"/>
      <c r="F82" s="21" t="s">
        <v>197</v>
      </c>
      <c r="G82" s="19" t="s">
        <v>198</v>
      </c>
      <c r="H82" s="18" t="s">
        <v>50</v>
      </c>
      <c r="I82" s="20" t="s">
        <v>199</v>
      </c>
      <c r="J82" s="20"/>
    </row>
    <row r="83" spans="1:10" ht="23.25" customHeight="1" x14ac:dyDescent="0.35">
      <c r="A83" s="18">
        <v>78</v>
      </c>
      <c r="B83" s="22" t="s">
        <v>3</v>
      </c>
      <c r="C83" s="19" t="s">
        <v>33</v>
      </c>
      <c r="D83" s="19" t="s">
        <v>48</v>
      </c>
      <c r="E83" s="20"/>
      <c r="F83" s="21" t="s">
        <v>200</v>
      </c>
      <c r="G83" s="19" t="s">
        <v>80</v>
      </c>
      <c r="H83" s="18" t="s">
        <v>50</v>
      </c>
      <c r="I83" s="20" t="s">
        <v>199</v>
      </c>
      <c r="J83" s="20"/>
    </row>
    <row r="84" spans="1:10" ht="23.25" customHeight="1" x14ac:dyDescent="0.35">
      <c r="A84" s="18">
        <v>79</v>
      </c>
      <c r="B84" s="22" t="s">
        <v>3</v>
      </c>
      <c r="C84" s="19" t="s">
        <v>33</v>
      </c>
      <c r="D84" s="19" t="s">
        <v>48</v>
      </c>
      <c r="E84" s="20"/>
      <c r="F84" s="21" t="s">
        <v>201</v>
      </c>
      <c r="G84" s="19" t="s">
        <v>80</v>
      </c>
      <c r="H84" s="18" t="s">
        <v>50</v>
      </c>
      <c r="I84" s="20" t="s">
        <v>202</v>
      </c>
      <c r="J84" s="20"/>
    </row>
    <row r="85" spans="1:10" ht="23.25" customHeight="1" x14ac:dyDescent="0.35">
      <c r="A85" s="18">
        <v>80</v>
      </c>
      <c r="B85" s="22" t="s">
        <v>3</v>
      </c>
      <c r="C85" s="19" t="s">
        <v>33</v>
      </c>
      <c r="D85" s="19" t="s">
        <v>48</v>
      </c>
      <c r="E85" s="20"/>
      <c r="F85" s="21" t="s">
        <v>203</v>
      </c>
      <c r="G85" s="19" t="s">
        <v>80</v>
      </c>
      <c r="H85" s="18" t="s">
        <v>50</v>
      </c>
      <c r="I85" s="20" t="s">
        <v>204</v>
      </c>
      <c r="J85" s="20"/>
    </row>
    <row r="86" spans="1:10" ht="23.25" customHeight="1" x14ac:dyDescent="0.35">
      <c r="A86" s="18">
        <v>81</v>
      </c>
      <c r="B86" s="22" t="s">
        <v>3</v>
      </c>
      <c r="C86" s="19" t="s">
        <v>33</v>
      </c>
      <c r="D86" s="19" t="s">
        <v>48</v>
      </c>
      <c r="E86" s="20"/>
      <c r="F86" s="21" t="s">
        <v>205</v>
      </c>
      <c r="G86" s="19" t="s">
        <v>80</v>
      </c>
      <c r="H86" s="18" t="s">
        <v>50</v>
      </c>
      <c r="I86" s="20" t="s">
        <v>206</v>
      </c>
      <c r="J86" s="20"/>
    </row>
    <row r="87" spans="1:10" ht="23.25" customHeight="1" x14ac:dyDescent="0.35">
      <c r="A87" s="18">
        <v>82</v>
      </c>
      <c r="B87" s="22" t="s">
        <v>3</v>
      </c>
      <c r="C87" s="19" t="s">
        <v>33</v>
      </c>
      <c r="D87" s="19" t="s">
        <v>48</v>
      </c>
      <c r="E87" s="20"/>
      <c r="F87" s="21" t="s">
        <v>207</v>
      </c>
      <c r="G87" s="19" t="s">
        <v>80</v>
      </c>
      <c r="H87" s="18" t="s">
        <v>50</v>
      </c>
      <c r="I87" s="20" t="s">
        <v>208</v>
      </c>
      <c r="J87" s="20"/>
    </row>
    <row r="88" spans="1:10" ht="23.25" customHeight="1" x14ac:dyDescent="0.35">
      <c r="A88" s="18">
        <v>83</v>
      </c>
      <c r="B88" s="22" t="s">
        <v>3</v>
      </c>
      <c r="C88" s="19" t="s">
        <v>33</v>
      </c>
      <c r="D88" s="19" t="s">
        <v>48</v>
      </c>
      <c r="E88" s="20"/>
      <c r="F88" s="21" t="s">
        <v>209</v>
      </c>
      <c r="G88" s="19" t="s">
        <v>210</v>
      </c>
      <c r="H88" s="18" t="s">
        <v>50</v>
      </c>
      <c r="I88" s="20" t="s">
        <v>211</v>
      </c>
      <c r="J88" s="20"/>
    </row>
    <row r="89" spans="1:10" ht="23.25" customHeight="1" x14ac:dyDescent="0.35">
      <c r="A89" s="18">
        <v>84</v>
      </c>
      <c r="B89" s="22" t="s">
        <v>3</v>
      </c>
      <c r="C89" s="19" t="s">
        <v>33</v>
      </c>
      <c r="D89" s="19" t="s">
        <v>48</v>
      </c>
      <c r="E89" s="20"/>
      <c r="F89" s="21" t="s">
        <v>212</v>
      </c>
      <c r="G89" s="19" t="s">
        <v>80</v>
      </c>
      <c r="H89" s="18" t="s">
        <v>50</v>
      </c>
      <c r="I89" s="20" t="s">
        <v>213</v>
      </c>
      <c r="J89" s="20"/>
    </row>
    <row r="90" spans="1:10" ht="23.25" customHeight="1" x14ac:dyDescent="0.35">
      <c r="A90" s="18">
        <v>85</v>
      </c>
      <c r="B90" s="22" t="s">
        <v>3</v>
      </c>
      <c r="C90" s="19" t="s">
        <v>33</v>
      </c>
      <c r="D90" s="19" t="s">
        <v>48</v>
      </c>
      <c r="E90" s="20"/>
      <c r="F90" s="21" t="s">
        <v>214</v>
      </c>
      <c r="G90" s="19" t="s">
        <v>92</v>
      </c>
      <c r="H90" s="18" t="s">
        <v>50</v>
      </c>
      <c r="I90" s="20" t="s">
        <v>215</v>
      </c>
      <c r="J90" s="20"/>
    </row>
    <row r="91" spans="1:10" ht="23.25" customHeight="1" x14ac:dyDescent="0.35">
      <c r="A91" s="18">
        <v>86</v>
      </c>
      <c r="B91" s="22" t="s">
        <v>3</v>
      </c>
      <c r="C91" s="19" t="s">
        <v>33</v>
      </c>
      <c r="D91" s="19" t="s">
        <v>48</v>
      </c>
      <c r="E91" s="20"/>
      <c r="F91" s="21" t="s">
        <v>216</v>
      </c>
      <c r="G91" s="19" t="s">
        <v>217</v>
      </c>
      <c r="H91" s="18" t="s">
        <v>50</v>
      </c>
      <c r="I91" s="20" t="s">
        <v>218</v>
      </c>
      <c r="J91" s="20"/>
    </row>
    <row r="92" spans="1:10" ht="23.25" customHeight="1" x14ac:dyDescent="0.35">
      <c r="A92" s="18">
        <v>87</v>
      </c>
      <c r="B92" s="22" t="s">
        <v>3</v>
      </c>
      <c r="C92" s="19" t="s">
        <v>33</v>
      </c>
      <c r="D92" s="19" t="s">
        <v>48</v>
      </c>
      <c r="E92" s="20"/>
      <c r="F92" s="21" t="s">
        <v>219</v>
      </c>
      <c r="G92" s="19" t="s">
        <v>210</v>
      </c>
      <c r="H92" s="18" t="s">
        <v>50</v>
      </c>
      <c r="I92" s="20" t="s">
        <v>220</v>
      </c>
      <c r="J92" s="20"/>
    </row>
    <row r="93" spans="1:10" ht="23.25" customHeight="1" x14ac:dyDescent="0.35">
      <c r="A93" s="18">
        <v>88</v>
      </c>
      <c r="B93" s="22" t="s">
        <v>3</v>
      </c>
      <c r="C93" s="19" t="s">
        <v>33</v>
      </c>
      <c r="D93" s="19" t="s">
        <v>48</v>
      </c>
      <c r="E93" s="20"/>
      <c r="F93" s="21" t="s">
        <v>221</v>
      </c>
      <c r="G93" s="19" t="s">
        <v>80</v>
      </c>
      <c r="H93" s="18" t="s">
        <v>50</v>
      </c>
      <c r="I93" s="20" t="s">
        <v>222</v>
      </c>
      <c r="J93" s="20"/>
    </row>
    <row r="94" spans="1:10" ht="23.25" customHeight="1" x14ac:dyDescent="0.35">
      <c r="A94" s="18">
        <v>89</v>
      </c>
      <c r="B94" s="22" t="s">
        <v>3</v>
      </c>
      <c r="C94" s="19" t="s">
        <v>33</v>
      </c>
      <c r="D94" s="19" t="s">
        <v>48</v>
      </c>
      <c r="E94" s="20"/>
      <c r="F94" s="21" t="s">
        <v>223</v>
      </c>
      <c r="G94" s="19" t="s">
        <v>80</v>
      </c>
      <c r="H94" s="18" t="s">
        <v>50</v>
      </c>
      <c r="I94" s="20" t="s">
        <v>224</v>
      </c>
      <c r="J94" s="20"/>
    </row>
    <row r="95" spans="1:10" ht="23.25" customHeight="1" x14ac:dyDescent="0.35">
      <c r="A95" s="18">
        <v>90</v>
      </c>
      <c r="B95" s="22" t="s">
        <v>3</v>
      </c>
      <c r="C95" s="19" t="s">
        <v>33</v>
      </c>
      <c r="D95" s="19" t="s">
        <v>48</v>
      </c>
      <c r="E95" s="20"/>
      <c r="F95" s="21" t="s">
        <v>225</v>
      </c>
      <c r="G95" s="19" t="s">
        <v>80</v>
      </c>
      <c r="H95" s="18" t="s">
        <v>50</v>
      </c>
      <c r="I95" s="20" t="s">
        <v>226</v>
      </c>
      <c r="J95" s="20"/>
    </row>
    <row r="96" spans="1:10" ht="23.25" customHeight="1" x14ac:dyDescent="0.35">
      <c r="A96" s="18">
        <v>91</v>
      </c>
      <c r="B96" s="22" t="s">
        <v>3</v>
      </c>
      <c r="C96" s="19" t="s">
        <v>33</v>
      </c>
      <c r="D96" s="19" t="s">
        <v>48</v>
      </c>
      <c r="E96" s="20"/>
      <c r="F96" s="21" t="s">
        <v>227</v>
      </c>
      <c r="G96" s="19" t="s">
        <v>80</v>
      </c>
      <c r="H96" s="18" t="s">
        <v>50</v>
      </c>
      <c r="I96" s="20" t="s">
        <v>228</v>
      </c>
      <c r="J96" s="20"/>
    </row>
    <row r="97" spans="1:10" ht="15" customHeight="1" x14ac:dyDescent="0.35">
      <c r="A97" s="4" t="s">
        <v>229</v>
      </c>
      <c r="B97" s="4"/>
      <c r="C97" s="4"/>
      <c r="D97" s="4"/>
      <c r="E97" s="4"/>
      <c r="F97" s="4"/>
      <c r="G97" s="4"/>
      <c r="H97" s="4"/>
      <c r="I97" s="4"/>
      <c r="J97" s="4"/>
    </row>
    <row r="98" spans="1:10" ht="15" customHeight="1" x14ac:dyDescent="0.35">
      <c r="A98" s="18">
        <v>92</v>
      </c>
      <c r="B98" s="18" t="s">
        <v>5</v>
      </c>
      <c r="C98" s="19" t="s">
        <v>229</v>
      </c>
      <c r="D98" s="19" t="s">
        <v>34</v>
      </c>
      <c r="E98" s="20" t="s">
        <v>230</v>
      </c>
      <c r="F98" s="21" t="s">
        <v>35</v>
      </c>
      <c r="G98" s="19" t="s">
        <v>36</v>
      </c>
      <c r="H98" s="18" t="s">
        <v>37</v>
      </c>
      <c r="I98" s="20" t="s">
        <v>38</v>
      </c>
      <c r="J98" s="20"/>
    </row>
    <row r="99" spans="1:10" ht="15" customHeight="1" x14ac:dyDescent="0.35">
      <c r="A99" s="18">
        <v>93</v>
      </c>
      <c r="B99" s="18" t="s">
        <v>5</v>
      </c>
      <c r="C99" s="19" t="s">
        <v>229</v>
      </c>
      <c r="D99" s="19" t="s">
        <v>34</v>
      </c>
      <c r="E99" s="20" t="s">
        <v>230</v>
      </c>
      <c r="F99" s="21" t="s">
        <v>39</v>
      </c>
      <c r="G99" s="19" t="s">
        <v>40</v>
      </c>
      <c r="H99" s="18" t="s">
        <v>37</v>
      </c>
      <c r="I99" s="20" t="s">
        <v>41</v>
      </c>
      <c r="J99" s="20"/>
    </row>
    <row r="100" spans="1:10" ht="15" customHeight="1" x14ac:dyDescent="0.35">
      <c r="A100" s="18">
        <v>94</v>
      </c>
      <c r="B100" s="18" t="s">
        <v>5</v>
      </c>
      <c r="C100" s="19" t="s">
        <v>229</v>
      </c>
      <c r="D100" s="19" t="s">
        <v>34</v>
      </c>
      <c r="E100" s="20" t="s">
        <v>230</v>
      </c>
      <c r="F100" s="21" t="s">
        <v>42</v>
      </c>
      <c r="G100" s="19" t="s">
        <v>43</v>
      </c>
      <c r="H100" s="18" t="s">
        <v>37</v>
      </c>
      <c r="I100" s="20" t="s">
        <v>44</v>
      </c>
      <c r="J100" s="20"/>
    </row>
    <row r="101" spans="1:10" ht="15" customHeight="1" x14ac:dyDescent="0.35">
      <c r="A101" s="18">
        <v>95</v>
      </c>
      <c r="B101" s="18" t="s">
        <v>5</v>
      </c>
      <c r="C101" s="19" t="s">
        <v>229</v>
      </c>
      <c r="D101" s="19" t="s">
        <v>34</v>
      </c>
      <c r="E101" s="20" t="s">
        <v>230</v>
      </c>
      <c r="F101" s="21" t="s">
        <v>45</v>
      </c>
      <c r="G101" s="19" t="s">
        <v>43</v>
      </c>
      <c r="H101" s="18" t="s">
        <v>46</v>
      </c>
      <c r="I101" s="20" t="s">
        <v>47</v>
      </c>
      <c r="J101" s="20"/>
    </row>
    <row r="102" spans="1:10" ht="15" customHeight="1" x14ac:dyDescent="0.35">
      <c r="A102" s="18">
        <v>96</v>
      </c>
      <c r="B102" s="22" t="s">
        <v>3</v>
      </c>
      <c r="C102" s="19" t="s">
        <v>229</v>
      </c>
      <c r="D102" s="19" t="s">
        <v>34</v>
      </c>
      <c r="E102" s="20" t="s">
        <v>231</v>
      </c>
      <c r="F102" s="21" t="s">
        <v>232</v>
      </c>
      <c r="G102" s="19" t="s">
        <v>36</v>
      </c>
      <c r="H102" s="18" t="s">
        <v>37</v>
      </c>
      <c r="I102" s="20" t="s">
        <v>233</v>
      </c>
      <c r="J102" s="20"/>
    </row>
    <row r="103" spans="1:10" ht="15" customHeight="1" x14ac:dyDescent="0.35">
      <c r="A103" s="18">
        <v>97</v>
      </c>
      <c r="B103" s="22" t="s">
        <v>3</v>
      </c>
      <c r="C103" s="19" t="s">
        <v>229</v>
      </c>
      <c r="D103" s="19" t="s">
        <v>34</v>
      </c>
      <c r="E103" s="20" t="s">
        <v>231</v>
      </c>
      <c r="F103" s="21" t="s">
        <v>234</v>
      </c>
      <c r="G103" s="19" t="s">
        <v>40</v>
      </c>
      <c r="H103" s="18" t="s">
        <v>37</v>
      </c>
      <c r="I103" s="20" t="s">
        <v>235</v>
      </c>
      <c r="J103" s="20"/>
    </row>
    <row r="104" spans="1:10" ht="15" customHeight="1" x14ac:dyDescent="0.35">
      <c r="A104" s="18">
        <v>98</v>
      </c>
      <c r="B104" s="22" t="s">
        <v>3</v>
      </c>
      <c r="C104" s="19" t="s">
        <v>229</v>
      </c>
      <c r="D104" s="19" t="s">
        <v>34</v>
      </c>
      <c r="E104" s="20" t="s">
        <v>231</v>
      </c>
      <c r="F104" s="21" t="s">
        <v>236</v>
      </c>
      <c r="G104" s="19" t="s">
        <v>40</v>
      </c>
      <c r="H104" s="18" t="s">
        <v>37</v>
      </c>
      <c r="I104" s="20" t="s">
        <v>237</v>
      </c>
      <c r="J104" s="20"/>
    </row>
    <row r="105" spans="1:10" ht="15" customHeight="1" x14ac:dyDescent="0.35">
      <c r="A105" s="18">
        <v>99</v>
      </c>
      <c r="B105" s="22" t="s">
        <v>3</v>
      </c>
      <c r="C105" s="19" t="s">
        <v>229</v>
      </c>
      <c r="D105" s="19" t="s">
        <v>34</v>
      </c>
      <c r="E105" s="20" t="s">
        <v>231</v>
      </c>
      <c r="F105" s="21" t="s">
        <v>238</v>
      </c>
      <c r="G105" s="19" t="s">
        <v>40</v>
      </c>
      <c r="H105" s="18" t="s">
        <v>37</v>
      </c>
      <c r="I105" s="20" t="s">
        <v>239</v>
      </c>
      <c r="J105" s="20"/>
    </row>
    <row r="106" spans="1:10" ht="15" customHeight="1" x14ac:dyDescent="0.35">
      <c r="A106" s="4" t="s">
        <v>240</v>
      </c>
      <c r="B106" s="4"/>
      <c r="C106" s="4"/>
      <c r="D106" s="4"/>
      <c r="E106" s="4"/>
      <c r="F106" s="4"/>
      <c r="G106" s="4"/>
      <c r="H106" s="4"/>
      <c r="I106" s="4"/>
      <c r="J106" s="4"/>
    </row>
    <row r="107" spans="1:10" ht="15" customHeight="1" x14ac:dyDescent="0.35">
      <c r="A107" s="18">
        <v>100</v>
      </c>
      <c r="B107" s="18" t="s">
        <v>5</v>
      </c>
      <c r="C107" s="19" t="s">
        <v>240</v>
      </c>
      <c r="D107" s="19" t="s">
        <v>34</v>
      </c>
      <c r="E107" s="20" t="s">
        <v>230</v>
      </c>
      <c r="F107" s="21" t="s">
        <v>35</v>
      </c>
      <c r="G107" s="19" t="s">
        <v>36</v>
      </c>
      <c r="H107" s="18" t="s">
        <v>37</v>
      </c>
      <c r="I107" s="20" t="s">
        <v>38</v>
      </c>
      <c r="J107" s="20"/>
    </row>
    <row r="108" spans="1:10" ht="15" customHeight="1" x14ac:dyDescent="0.35">
      <c r="A108" s="18">
        <v>101</v>
      </c>
      <c r="B108" s="18" t="s">
        <v>5</v>
      </c>
      <c r="C108" s="19" t="s">
        <v>240</v>
      </c>
      <c r="D108" s="19" t="s">
        <v>34</v>
      </c>
      <c r="E108" s="20" t="s">
        <v>230</v>
      </c>
      <c r="F108" s="21" t="s">
        <v>39</v>
      </c>
      <c r="G108" s="19" t="s">
        <v>40</v>
      </c>
      <c r="H108" s="18" t="s">
        <v>37</v>
      </c>
      <c r="I108" s="20" t="s">
        <v>41</v>
      </c>
      <c r="J108" s="20"/>
    </row>
    <row r="109" spans="1:10" ht="15" customHeight="1" x14ac:dyDescent="0.35">
      <c r="A109" s="18">
        <v>102</v>
      </c>
      <c r="B109" s="18" t="s">
        <v>5</v>
      </c>
      <c r="C109" s="19" t="s">
        <v>240</v>
      </c>
      <c r="D109" s="19" t="s">
        <v>34</v>
      </c>
      <c r="E109" s="20" t="s">
        <v>230</v>
      </c>
      <c r="F109" s="21" t="s">
        <v>42</v>
      </c>
      <c r="G109" s="19" t="s">
        <v>43</v>
      </c>
      <c r="H109" s="18" t="s">
        <v>37</v>
      </c>
      <c r="I109" s="20" t="s">
        <v>44</v>
      </c>
      <c r="J109" s="20"/>
    </row>
    <row r="110" spans="1:10" ht="15" customHeight="1" x14ac:dyDescent="0.35">
      <c r="A110" s="18">
        <v>103</v>
      </c>
      <c r="B110" s="18" t="s">
        <v>5</v>
      </c>
      <c r="C110" s="19" t="s">
        <v>240</v>
      </c>
      <c r="D110" s="19" t="s">
        <v>34</v>
      </c>
      <c r="E110" s="20" t="s">
        <v>230</v>
      </c>
      <c r="F110" s="21" t="s">
        <v>45</v>
      </c>
      <c r="G110" s="19" t="s">
        <v>43</v>
      </c>
      <c r="H110" s="18" t="s">
        <v>46</v>
      </c>
      <c r="I110" s="20" t="s">
        <v>47</v>
      </c>
      <c r="J110" s="20"/>
    </row>
    <row r="111" spans="1:10" ht="15" customHeight="1" x14ac:dyDescent="0.35">
      <c r="A111" s="18">
        <v>104</v>
      </c>
      <c r="B111" s="22" t="s">
        <v>3</v>
      </c>
      <c r="C111" s="19" t="s">
        <v>240</v>
      </c>
      <c r="D111" s="19" t="s">
        <v>34</v>
      </c>
      <c r="E111" s="20" t="s">
        <v>241</v>
      </c>
      <c r="F111" s="21" t="s">
        <v>242</v>
      </c>
      <c r="G111" s="19" t="s">
        <v>36</v>
      </c>
      <c r="H111" s="18" t="s">
        <v>37</v>
      </c>
      <c r="I111" s="20" t="s">
        <v>243</v>
      </c>
      <c r="J111" s="20"/>
    </row>
    <row r="112" spans="1:10" ht="15" customHeight="1" x14ac:dyDescent="0.35">
      <c r="A112" s="18">
        <v>105</v>
      </c>
      <c r="B112" s="22" t="s">
        <v>3</v>
      </c>
      <c r="C112" s="19" t="s">
        <v>240</v>
      </c>
      <c r="D112" s="19" t="s">
        <v>34</v>
      </c>
      <c r="E112" s="20" t="s">
        <v>241</v>
      </c>
      <c r="F112" s="21" t="s">
        <v>244</v>
      </c>
      <c r="G112" s="19" t="s">
        <v>40</v>
      </c>
      <c r="H112" s="18" t="s">
        <v>37</v>
      </c>
      <c r="I112" s="20" t="s">
        <v>245</v>
      </c>
      <c r="J112" s="20"/>
    </row>
    <row r="113" spans="1:10" ht="15" customHeight="1" x14ac:dyDescent="0.35">
      <c r="A113" s="18">
        <v>106</v>
      </c>
      <c r="B113" s="22" t="s">
        <v>3</v>
      </c>
      <c r="C113" s="19" t="s">
        <v>240</v>
      </c>
      <c r="D113" s="19" t="s">
        <v>34</v>
      </c>
      <c r="E113" s="20" t="s">
        <v>241</v>
      </c>
      <c r="F113" s="21" t="s">
        <v>246</v>
      </c>
      <c r="G113" s="19" t="s">
        <v>40</v>
      </c>
      <c r="H113" s="18" t="s">
        <v>37</v>
      </c>
      <c r="I113" s="20" t="s">
        <v>247</v>
      </c>
      <c r="J113" s="20"/>
    </row>
    <row r="114" spans="1:10" ht="15" customHeight="1" x14ac:dyDescent="0.35">
      <c r="A114" s="18">
        <v>107</v>
      </c>
      <c r="B114" s="22" t="s">
        <v>3</v>
      </c>
      <c r="C114" s="19" t="s">
        <v>240</v>
      </c>
      <c r="D114" s="19" t="s">
        <v>34</v>
      </c>
      <c r="E114" s="20" t="s">
        <v>241</v>
      </c>
      <c r="F114" s="21" t="s">
        <v>248</v>
      </c>
      <c r="G114" s="19" t="s">
        <v>40</v>
      </c>
      <c r="H114" s="18" t="s">
        <v>37</v>
      </c>
      <c r="I114" s="20" t="s">
        <v>249</v>
      </c>
      <c r="J114" s="20"/>
    </row>
    <row r="115" spans="1:10" ht="15" customHeight="1" x14ac:dyDescent="0.35">
      <c r="A115" s="4" t="s">
        <v>250</v>
      </c>
      <c r="B115" s="4"/>
      <c r="C115" s="4"/>
      <c r="D115" s="4"/>
      <c r="E115" s="4"/>
      <c r="F115" s="4"/>
      <c r="G115" s="4"/>
      <c r="H115" s="4"/>
      <c r="I115" s="4"/>
      <c r="J115" s="4"/>
    </row>
    <row r="116" spans="1:10" ht="15" customHeight="1" x14ac:dyDescent="0.35">
      <c r="A116" s="18">
        <v>108</v>
      </c>
      <c r="B116" s="18" t="s">
        <v>5</v>
      </c>
      <c r="C116" s="19" t="s">
        <v>250</v>
      </c>
      <c r="D116" s="19" t="s">
        <v>34</v>
      </c>
      <c r="E116" s="20" t="s">
        <v>230</v>
      </c>
      <c r="F116" s="21" t="s">
        <v>35</v>
      </c>
      <c r="G116" s="19" t="s">
        <v>36</v>
      </c>
      <c r="H116" s="18" t="s">
        <v>37</v>
      </c>
      <c r="I116" s="20" t="s">
        <v>38</v>
      </c>
      <c r="J116" s="20"/>
    </row>
    <row r="117" spans="1:10" ht="15" customHeight="1" x14ac:dyDescent="0.35">
      <c r="A117" s="18">
        <v>109</v>
      </c>
      <c r="B117" s="18" t="s">
        <v>5</v>
      </c>
      <c r="C117" s="19" t="s">
        <v>250</v>
      </c>
      <c r="D117" s="19" t="s">
        <v>34</v>
      </c>
      <c r="E117" s="20" t="s">
        <v>230</v>
      </c>
      <c r="F117" s="21" t="s">
        <v>39</v>
      </c>
      <c r="G117" s="19" t="s">
        <v>40</v>
      </c>
      <c r="H117" s="18" t="s">
        <v>37</v>
      </c>
      <c r="I117" s="20" t="s">
        <v>41</v>
      </c>
      <c r="J117" s="20"/>
    </row>
    <row r="118" spans="1:10" ht="15" customHeight="1" x14ac:dyDescent="0.35">
      <c r="A118" s="18">
        <v>110</v>
      </c>
      <c r="B118" s="18" t="s">
        <v>5</v>
      </c>
      <c r="C118" s="19" t="s">
        <v>250</v>
      </c>
      <c r="D118" s="19" t="s">
        <v>34</v>
      </c>
      <c r="E118" s="20" t="s">
        <v>230</v>
      </c>
      <c r="F118" s="21" t="s">
        <v>42</v>
      </c>
      <c r="G118" s="19" t="s">
        <v>43</v>
      </c>
      <c r="H118" s="18" t="s">
        <v>37</v>
      </c>
      <c r="I118" s="20" t="s">
        <v>44</v>
      </c>
      <c r="J118" s="20"/>
    </row>
    <row r="119" spans="1:10" ht="15" customHeight="1" x14ac:dyDescent="0.35">
      <c r="A119" s="18">
        <v>111</v>
      </c>
      <c r="B119" s="18" t="s">
        <v>5</v>
      </c>
      <c r="C119" s="19" t="s">
        <v>250</v>
      </c>
      <c r="D119" s="19" t="s">
        <v>34</v>
      </c>
      <c r="E119" s="20" t="s">
        <v>230</v>
      </c>
      <c r="F119" s="21" t="s">
        <v>45</v>
      </c>
      <c r="G119" s="19" t="s">
        <v>43</v>
      </c>
      <c r="H119" s="18" t="s">
        <v>46</v>
      </c>
      <c r="I119" s="20" t="s">
        <v>47</v>
      </c>
      <c r="J119" s="20"/>
    </row>
    <row r="120" spans="1:10" ht="15" customHeight="1" x14ac:dyDescent="0.35">
      <c r="A120" s="18">
        <v>112</v>
      </c>
      <c r="B120" s="22" t="s">
        <v>3</v>
      </c>
      <c r="C120" s="19" t="s">
        <v>250</v>
      </c>
      <c r="D120" s="19" t="s">
        <v>34</v>
      </c>
      <c r="E120" s="20" t="s">
        <v>241</v>
      </c>
      <c r="F120" s="21" t="s">
        <v>242</v>
      </c>
      <c r="G120" s="19" t="s">
        <v>36</v>
      </c>
      <c r="H120" s="18" t="s">
        <v>37</v>
      </c>
      <c r="I120" s="20" t="s">
        <v>243</v>
      </c>
      <c r="J120" s="20"/>
    </row>
    <row r="121" spans="1:10" ht="15" customHeight="1" x14ac:dyDescent="0.35">
      <c r="A121" s="18">
        <v>113</v>
      </c>
      <c r="B121" s="22" t="s">
        <v>3</v>
      </c>
      <c r="C121" s="19" t="s">
        <v>250</v>
      </c>
      <c r="D121" s="19" t="s">
        <v>34</v>
      </c>
      <c r="E121" s="20" t="s">
        <v>241</v>
      </c>
      <c r="F121" s="21" t="s">
        <v>244</v>
      </c>
      <c r="G121" s="19" t="s">
        <v>40</v>
      </c>
      <c r="H121" s="18" t="s">
        <v>37</v>
      </c>
      <c r="I121" s="20" t="s">
        <v>245</v>
      </c>
      <c r="J121" s="20"/>
    </row>
    <row r="122" spans="1:10" ht="15" customHeight="1" x14ac:dyDescent="0.35">
      <c r="A122" s="18">
        <v>114</v>
      </c>
      <c r="B122" s="22" t="s">
        <v>3</v>
      </c>
      <c r="C122" s="19" t="s">
        <v>250</v>
      </c>
      <c r="D122" s="19" t="s">
        <v>34</v>
      </c>
      <c r="E122" s="20" t="s">
        <v>241</v>
      </c>
      <c r="F122" s="21" t="s">
        <v>246</v>
      </c>
      <c r="G122" s="19" t="s">
        <v>40</v>
      </c>
      <c r="H122" s="18" t="s">
        <v>37</v>
      </c>
      <c r="I122" s="20" t="s">
        <v>247</v>
      </c>
      <c r="J122" s="20"/>
    </row>
    <row r="123" spans="1:10" ht="15" customHeight="1" x14ac:dyDescent="0.35">
      <c r="A123" s="18">
        <v>115</v>
      </c>
      <c r="B123" s="22" t="s">
        <v>3</v>
      </c>
      <c r="C123" s="19" t="s">
        <v>250</v>
      </c>
      <c r="D123" s="19" t="s">
        <v>34</v>
      </c>
      <c r="E123" s="20" t="s">
        <v>241</v>
      </c>
      <c r="F123" s="21" t="s">
        <v>248</v>
      </c>
      <c r="G123" s="19" t="s">
        <v>40</v>
      </c>
      <c r="H123" s="18" t="s">
        <v>37</v>
      </c>
      <c r="I123" s="20" t="s">
        <v>249</v>
      </c>
      <c r="J123" s="20"/>
    </row>
    <row r="124" spans="1:10" ht="15" customHeight="1" x14ac:dyDescent="0.35">
      <c r="A124" s="18">
        <v>116</v>
      </c>
      <c r="B124" s="22" t="s">
        <v>3</v>
      </c>
      <c r="C124" s="19" t="s">
        <v>250</v>
      </c>
      <c r="D124" s="19" t="s">
        <v>34</v>
      </c>
      <c r="E124" s="20" t="s">
        <v>251</v>
      </c>
      <c r="F124" s="21" t="s">
        <v>252</v>
      </c>
      <c r="G124" s="19" t="s">
        <v>36</v>
      </c>
      <c r="H124" s="18" t="s">
        <v>37</v>
      </c>
      <c r="I124" s="20" t="s">
        <v>253</v>
      </c>
      <c r="J124" s="20"/>
    </row>
    <row r="125" spans="1:10" ht="15" customHeight="1" x14ac:dyDescent="0.35">
      <c r="A125" s="18">
        <v>117</v>
      </c>
      <c r="B125" s="22" t="s">
        <v>3</v>
      </c>
      <c r="C125" s="19" t="s">
        <v>250</v>
      </c>
      <c r="D125" s="19" t="s">
        <v>34</v>
      </c>
      <c r="E125" s="20" t="s">
        <v>251</v>
      </c>
      <c r="F125" s="21" t="s">
        <v>254</v>
      </c>
      <c r="G125" s="19" t="s">
        <v>40</v>
      </c>
      <c r="H125" s="18" t="s">
        <v>37</v>
      </c>
      <c r="I125" s="20" t="s">
        <v>255</v>
      </c>
      <c r="J125" s="20"/>
    </row>
    <row r="126" spans="1:10" ht="15" customHeight="1" x14ac:dyDescent="0.35">
      <c r="A126" s="18">
        <v>118</v>
      </c>
      <c r="B126" s="22" t="s">
        <v>3</v>
      </c>
      <c r="C126" s="19" t="s">
        <v>250</v>
      </c>
      <c r="D126" s="19" t="s">
        <v>34</v>
      </c>
      <c r="E126" s="20" t="s">
        <v>251</v>
      </c>
      <c r="F126" s="21" t="s">
        <v>256</v>
      </c>
      <c r="G126" s="19" t="s">
        <v>40</v>
      </c>
      <c r="H126" s="18" t="s">
        <v>37</v>
      </c>
      <c r="I126" s="20" t="s">
        <v>257</v>
      </c>
      <c r="J126" s="20"/>
    </row>
    <row r="127" spans="1:10" ht="15" customHeight="1" x14ac:dyDescent="0.35">
      <c r="A127" s="18">
        <v>119</v>
      </c>
      <c r="B127" s="22" t="s">
        <v>3</v>
      </c>
      <c r="C127" s="19" t="s">
        <v>250</v>
      </c>
      <c r="D127" s="19" t="s">
        <v>34</v>
      </c>
      <c r="E127" s="20" t="s">
        <v>251</v>
      </c>
      <c r="F127" s="21" t="s">
        <v>258</v>
      </c>
      <c r="G127" s="19" t="s">
        <v>40</v>
      </c>
      <c r="H127" s="18" t="s">
        <v>37</v>
      </c>
      <c r="I127" s="20" t="s">
        <v>259</v>
      </c>
      <c r="J127" s="20"/>
    </row>
    <row r="128" spans="1:10" ht="23.25" customHeight="1" x14ac:dyDescent="0.35">
      <c r="A128" s="18">
        <v>120</v>
      </c>
      <c r="B128" s="22" t="s">
        <v>3</v>
      </c>
      <c r="C128" s="19" t="s">
        <v>250</v>
      </c>
      <c r="D128" s="19" t="s">
        <v>48</v>
      </c>
      <c r="E128" s="20"/>
      <c r="F128" s="21" t="s">
        <v>260</v>
      </c>
      <c r="G128" s="19" t="s">
        <v>56</v>
      </c>
      <c r="H128" s="18" t="s">
        <v>57</v>
      </c>
      <c r="I128" s="20" t="s">
        <v>261</v>
      </c>
      <c r="J128" s="20"/>
    </row>
    <row r="129" spans="1:10" ht="23.25" customHeight="1" x14ac:dyDescent="0.35">
      <c r="A129" s="18">
        <v>121</v>
      </c>
      <c r="B129" s="22" t="s">
        <v>3</v>
      </c>
      <c r="C129" s="19" t="s">
        <v>250</v>
      </c>
      <c r="D129" s="19" t="s">
        <v>48</v>
      </c>
      <c r="E129" s="20"/>
      <c r="F129" s="21" t="s">
        <v>262</v>
      </c>
      <c r="G129" s="19" t="s">
        <v>56</v>
      </c>
      <c r="H129" s="18" t="s">
        <v>57</v>
      </c>
      <c r="I129" s="20" t="s">
        <v>263</v>
      </c>
      <c r="J129" s="20"/>
    </row>
    <row r="130" spans="1:10" ht="23.25" customHeight="1" x14ac:dyDescent="0.35">
      <c r="A130" s="18">
        <v>122</v>
      </c>
      <c r="B130" s="22" t="s">
        <v>3</v>
      </c>
      <c r="C130" s="19" t="s">
        <v>250</v>
      </c>
      <c r="D130" s="19" t="s">
        <v>48</v>
      </c>
      <c r="E130" s="20"/>
      <c r="F130" s="21" t="s">
        <v>264</v>
      </c>
      <c r="G130" s="19" t="s">
        <v>56</v>
      </c>
      <c r="H130" s="18" t="s">
        <v>57</v>
      </c>
      <c r="I130" s="20" t="s">
        <v>265</v>
      </c>
      <c r="J130" s="20"/>
    </row>
    <row r="131" spans="1:10" ht="23.25" customHeight="1" x14ac:dyDescent="0.35">
      <c r="A131" s="18">
        <v>123</v>
      </c>
      <c r="B131" s="22" t="s">
        <v>3</v>
      </c>
      <c r="C131" s="19" t="s">
        <v>250</v>
      </c>
      <c r="D131" s="19" t="s">
        <v>48</v>
      </c>
      <c r="E131" s="20"/>
      <c r="F131" s="21" t="s">
        <v>266</v>
      </c>
      <c r="G131" s="19" t="s">
        <v>56</v>
      </c>
      <c r="H131" s="18" t="s">
        <v>57</v>
      </c>
      <c r="I131" s="20" t="s">
        <v>267</v>
      </c>
      <c r="J131" s="20"/>
    </row>
    <row r="132" spans="1:10" ht="23.25" customHeight="1" x14ac:dyDescent="0.35">
      <c r="A132" s="18">
        <v>124</v>
      </c>
      <c r="B132" s="22" t="s">
        <v>3</v>
      </c>
      <c r="C132" s="19" t="s">
        <v>250</v>
      </c>
      <c r="D132" s="19" t="s">
        <v>48</v>
      </c>
      <c r="E132" s="20"/>
      <c r="F132" s="21" t="s">
        <v>268</v>
      </c>
      <c r="G132" s="19" t="s">
        <v>56</v>
      </c>
      <c r="H132" s="18" t="s">
        <v>57</v>
      </c>
      <c r="I132" s="20" t="s">
        <v>269</v>
      </c>
      <c r="J132" s="20"/>
    </row>
    <row r="133" spans="1:10" ht="15" customHeight="1" x14ac:dyDescent="0.35">
      <c r="A133" s="18">
        <v>125</v>
      </c>
      <c r="B133" s="22" t="s">
        <v>3</v>
      </c>
      <c r="C133" s="19" t="s">
        <v>250</v>
      </c>
      <c r="D133" s="19" t="s">
        <v>48</v>
      </c>
      <c r="E133" s="20"/>
      <c r="F133" s="21" t="s">
        <v>270</v>
      </c>
      <c r="G133" s="19" t="s">
        <v>271</v>
      </c>
      <c r="H133" s="18" t="s">
        <v>57</v>
      </c>
      <c r="I133" s="20" t="s">
        <v>272</v>
      </c>
      <c r="J133" s="20"/>
    </row>
    <row r="134" spans="1:10" ht="15" customHeight="1" x14ac:dyDescent="0.35">
      <c r="A134" s="4" t="s">
        <v>273</v>
      </c>
      <c r="B134" s="4"/>
      <c r="C134" s="4"/>
      <c r="D134" s="4"/>
      <c r="E134" s="4"/>
      <c r="F134" s="4"/>
      <c r="G134" s="4"/>
      <c r="H134" s="4"/>
      <c r="I134" s="4"/>
      <c r="J134" s="4"/>
    </row>
    <row r="135" spans="1:10" ht="15" customHeight="1" x14ac:dyDescent="0.35">
      <c r="A135" s="18">
        <v>126</v>
      </c>
      <c r="B135" s="18" t="s">
        <v>5</v>
      </c>
      <c r="C135" s="19" t="s">
        <v>273</v>
      </c>
      <c r="D135" s="19" t="s">
        <v>34</v>
      </c>
      <c r="E135" s="20" t="s">
        <v>230</v>
      </c>
      <c r="F135" s="21" t="s">
        <v>35</v>
      </c>
      <c r="G135" s="19" t="s">
        <v>36</v>
      </c>
      <c r="H135" s="18" t="s">
        <v>37</v>
      </c>
      <c r="I135" s="20" t="s">
        <v>38</v>
      </c>
      <c r="J135" s="20"/>
    </row>
    <row r="136" spans="1:10" ht="15" customHeight="1" x14ac:dyDescent="0.35">
      <c r="A136" s="18">
        <v>127</v>
      </c>
      <c r="B136" s="18" t="s">
        <v>5</v>
      </c>
      <c r="C136" s="19" t="s">
        <v>273</v>
      </c>
      <c r="D136" s="19" t="s">
        <v>34</v>
      </c>
      <c r="E136" s="20" t="s">
        <v>230</v>
      </c>
      <c r="F136" s="21" t="s">
        <v>39</v>
      </c>
      <c r="G136" s="19" t="s">
        <v>40</v>
      </c>
      <c r="H136" s="18" t="s">
        <v>37</v>
      </c>
      <c r="I136" s="20" t="s">
        <v>41</v>
      </c>
      <c r="J136" s="20"/>
    </row>
    <row r="137" spans="1:10" ht="15" customHeight="1" x14ac:dyDescent="0.35">
      <c r="A137" s="18">
        <v>128</v>
      </c>
      <c r="B137" s="18" t="s">
        <v>5</v>
      </c>
      <c r="C137" s="19" t="s">
        <v>273</v>
      </c>
      <c r="D137" s="19" t="s">
        <v>34</v>
      </c>
      <c r="E137" s="20" t="s">
        <v>230</v>
      </c>
      <c r="F137" s="21" t="s">
        <v>42</v>
      </c>
      <c r="G137" s="19" t="s">
        <v>43</v>
      </c>
      <c r="H137" s="18" t="s">
        <v>37</v>
      </c>
      <c r="I137" s="20" t="s">
        <v>44</v>
      </c>
      <c r="J137" s="20"/>
    </row>
    <row r="138" spans="1:10" ht="15" customHeight="1" x14ac:dyDescent="0.35">
      <c r="A138" s="18">
        <v>129</v>
      </c>
      <c r="B138" s="18" t="s">
        <v>5</v>
      </c>
      <c r="C138" s="19" t="s">
        <v>273</v>
      </c>
      <c r="D138" s="19" t="s">
        <v>34</v>
      </c>
      <c r="E138" s="20" t="s">
        <v>230</v>
      </c>
      <c r="F138" s="21" t="s">
        <v>45</v>
      </c>
      <c r="G138" s="19" t="s">
        <v>43</v>
      </c>
      <c r="H138" s="18" t="s">
        <v>46</v>
      </c>
      <c r="I138" s="20" t="s">
        <v>47</v>
      </c>
      <c r="J138" s="20"/>
    </row>
    <row r="139" spans="1:10" ht="15" customHeight="1" x14ac:dyDescent="0.35">
      <c r="A139" s="18">
        <v>130</v>
      </c>
      <c r="B139" s="22" t="s">
        <v>3</v>
      </c>
      <c r="C139" s="19" t="s">
        <v>273</v>
      </c>
      <c r="D139" s="19" t="s">
        <v>34</v>
      </c>
      <c r="E139" s="20" t="s">
        <v>274</v>
      </c>
      <c r="F139" s="21" t="s">
        <v>275</v>
      </c>
      <c r="G139" s="19" t="s">
        <v>36</v>
      </c>
      <c r="H139" s="18" t="s">
        <v>37</v>
      </c>
      <c r="I139" s="20" t="s">
        <v>276</v>
      </c>
      <c r="J139" s="20"/>
    </row>
    <row r="140" spans="1:10" ht="15" customHeight="1" x14ac:dyDescent="0.35">
      <c r="A140" s="18">
        <v>131</v>
      </c>
      <c r="B140" s="22" t="s">
        <v>3</v>
      </c>
      <c r="C140" s="19" t="s">
        <v>273</v>
      </c>
      <c r="D140" s="19" t="s">
        <v>34</v>
      </c>
      <c r="E140" s="20" t="s">
        <v>274</v>
      </c>
      <c r="F140" s="21" t="s">
        <v>277</v>
      </c>
      <c r="G140" s="19" t="s">
        <v>40</v>
      </c>
      <c r="H140" s="18" t="s">
        <v>37</v>
      </c>
      <c r="I140" s="20" t="s">
        <v>278</v>
      </c>
      <c r="J140" s="20"/>
    </row>
    <row r="141" spans="1:10" ht="15" customHeight="1" x14ac:dyDescent="0.35">
      <c r="A141" s="18">
        <v>132</v>
      </c>
      <c r="B141" s="22" t="s">
        <v>3</v>
      </c>
      <c r="C141" s="19" t="s">
        <v>273</v>
      </c>
      <c r="D141" s="19" t="s">
        <v>34</v>
      </c>
      <c r="E141" s="20" t="s">
        <v>274</v>
      </c>
      <c r="F141" s="21" t="s">
        <v>279</v>
      </c>
      <c r="G141" s="19" t="s">
        <v>40</v>
      </c>
      <c r="H141" s="18" t="s">
        <v>37</v>
      </c>
      <c r="I141" s="20" t="s">
        <v>280</v>
      </c>
      <c r="J141" s="20"/>
    </row>
    <row r="142" spans="1:10" ht="15" customHeight="1" x14ac:dyDescent="0.35">
      <c r="A142" s="18">
        <v>133</v>
      </c>
      <c r="B142" s="22" t="s">
        <v>3</v>
      </c>
      <c r="C142" s="19" t="s">
        <v>273</v>
      </c>
      <c r="D142" s="19" t="s">
        <v>34</v>
      </c>
      <c r="E142" s="20" t="s">
        <v>274</v>
      </c>
      <c r="F142" s="21" t="s">
        <v>281</v>
      </c>
      <c r="G142" s="19" t="s">
        <v>40</v>
      </c>
      <c r="H142" s="18" t="s">
        <v>37</v>
      </c>
      <c r="I142" s="20" t="s">
        <v>282</v>
      </c>
      <c r="J142" s="20"/>
    </row>
    <row r="143" spans="1:10" ht="23.25" customHeight="1" x14ac:dyDescent="0.35">
      <c r="A143" s="18">
        <v>134</v>
      </c>
      <c r="B143" s="22" t="s">
        <v>3</v>
      </c>
      <c r="C143" s="19" t="s">
        <v>273</v>
      </c>
      <c r="D143" s="19" t="s">
        <v>48</v>
      </c>
      <c r="E143" s="20"/>
      <c r="F143" s="21" t="s">
        <v>283</v>
      </c>
      <c r="G143" s="19" t="s">
        <v>56</v>
      </c>
      <c r="H143" s="18" t="s">
        <v>57</v>
      </c>
      <c r="I143" s="20" t="s">
        <v>284</v>
      </c>
      <c r="J143" s="20"/>
    </row>
    <row r="144" spans="1:10" ht="15" customHeight="1" x14ac:dyDescent="0.35">
      <c r="A144" s="18">
        <v>135</v>
      </c>
      <c r="B144" s="22" t="s">
        <v>3</v>
      </c>
      <c r="C144" s="19" t="s">
        <v>273</v>
      </c>
      <c r="D144" s="19" t="s">
        <v>48</v>
      </c>
      <c r="E144" s="20"/>
      <c r="F144" s="21" t="s">
        <v>285</v>
      </c>
      <c r="G144" s="19" t="s">
        <v>286</v>
      </c>
      <c r="H144" s="18" t="s">
        <v>57</v>
      </c>
      <c r="I144" s="20" t="s">
        <v>287</v>
      </c>
      <c r="J144" s="20"/>
    </row>
    <row r="145" spans="1:10" ht="23.25" customHeight="1" x14ac:dyDescent="0.35">
      <c r="A145" s="18">
        <v>136</v>
      </c>
      <c r="B145" s="22" t="s">
        <v>3</v>
      </c>
      <c r="C145" s="19" t="s">
        <v>273</v>
      </c>
      <c r="D145" s="19" t="s">
        <v>48</v>
      </c>
      <c r="E145" s="20"/>
      <c r="F145" s="21" t="s">
        <v>288</v>
      </c>
      <c r="G145" s="19" t="s">
        <v>289</v>
      </c>
      <c r="H145" s="18" t="s">
        <v>57</v>
      </c>
      <c r="I145" s="20" t="s">
        <v>290</v>
      </c>
      <c r="J145" s="20"/>
    </row>
    <row r="146" spans="1:10" ht="15" customHeight="1" x14ac:dyDescent="0.35">
      <c r="A146" s="18">
        <v>137</v>
      </c>
      <c r="B146" s="22" t="s">
        <v>3</v>
      </c>
      <c r="C146" s="19" t="s">
        <v>273</v>
      </c>
      <c r="D146" s="19" t="s">
        <v>48</v>
      </c>
      <c r="E146" s="20"/>
      <c r="F146" s="21" t="s">
        <v>270</v>
      </c>
      <c r="G146" s="19" t="s">
        <v>271</v>
      </c>
      <c r="H146" s="18" t="s">
        <v>50</v>
      </c>
      <c r="I146" s="20" t="s">
        <v>272</v>
      </c>
      <c r="J146" s="20"/>
    </row>
    <row r="147" spans="1:10" ht="23.25" customHeight="1" x14ac:dyDescent="0.35">
      <c r="A147" s="18">
        <v>138</v>
      </c>
      <c r="B147" s="22" t="s">
        <v>3</v>
      </c>
      <c r="C147" s="19" t="s">
        <v>273</v>
      </c>
      <c r="D147" s="19" t="s">
        <v>48</v>
      </c>
      <c r="E147" s="20"/>
      <c r="F147" s="21" t="s">
        <v>291</v>
      </c>
      <c r="G147" s="19" t="s">
        <v>56</v>
      </c>
      <c r="H147" s="18" t="s">
        <v>57</v>
      </c>
      <c r="I147" s="20" t="s">
        <v>292</v>
      </c>
      <c r="J147" s="20"/>
    </row>
    <row r="148" spans="1:10" ht="23.25" customHeight="1" x14ac:dyDescent="0.35">
      <c r="A148" s="18">
        <v>139</v>
      </c>
      <c r="B148" s="22" t="s">
        <v>3</v>
      </c>
      <c r="C148" s="19" t="s">
        <v>273</v>
      </c>
      <c r="D148" s="19" t="s">
        <v>48</v>
      </c>
      <c r="E148" s="20"/>
      <c r="F148" s="21" t="s">
        <v>293</v>
      </c>
      <c r="G148" s="19" t="s">
        <v>56</v>
      </c>
      <c r="H148" s="18" t="s">
        <v>57</v>
      </c>
      <c r="I148" s="20" t="s">
        <v>294</v>
      </c>
      <c r="J148" s="20"/>
    </row>
    <row r="149" spans="1:10" ht="23.25" customHeight="1" x14ac:dyDescent="0.35">
      <c r="A149" s="18">
        <v>140</v>
      </c>
      <c r="B149" s="22" t="s">
        <v>3</v>
      </c>
      <c r="C149" s="19" t="s">
        <v>273</v>
      </c>
      <c r="D149" s="19" t="s">
        <v>48</v>
      </c>
      <c r="E149" s="20"/>
      <c r="F149" s="21" t="s">
        <v>295</v>
      </c>
      <c r="G149" s="19" t="s">
        <v>56</v>
      </c>
      <c r="H149" s="18" t="s">
        <v>57</v>
      </c>
      <c r="I149" s="20" t="s">
        <v>296</v>
      </c>
      <c r="J149" s="20"/>
    </row>
    <row r="150" spans="1:10" ht="23.25" customHeight="1" x14ac:dyDescent="0.35">
      <c r="A150" s="18">
        <v>141</v>
      </c>
      <c r="B150" s="22" t="s">
        <v>3</v>
      </c>
      <c r="C150" s="19" t="s">
        <v>273</v>
      </c>
      <c r="D150" s="19" t="s">
        <v>48</v>
      </c>
      <c r="E150" s="20"/>
      <c r="F150" s="21" t="s">
        <v>297</v>
      </c>
      <c r="G150" s="19" t="s">
        <v>56</v>
      </c>
      <c r="H150" s="18" t="s">
        <v>57</v>
      </c>
      <c r="I150" s="20" t="s">
        <v>298</v>
      </c>
      <c r="J150" s="20"/>
    </row>
    <row r="151" spans="1:10" ht="23.25" customHeight="1" x14ac:dyDescent="0.35">
      <c r="A151" s="18">
        <v>142</v>
      </c>
      <c r="B151" s="22" t="s">
        <v>3</v>
      </c>
      <c r="C151" s="19" t="s">
        <v>273</v>
      </c>
      <c r="D151" s="19" t="s">
        <v>48</v>
      </c>
      <c r="E151" s="20"/>
      <c r="F151" s="21" t="s">
        <v>299</v>
      </c>
      <c r="G151" s="19" t="s">
        <v>56</v>
      </c>
      <c r="H151" s="18" t="s">
        <v>57</v>
      </c>
      <c r="I151" s="20" t="s">
        <v>300</v>
      </c>
      <c r="J151" s="20"/>
    </row>
    <row r="152" spans="1:10" ht="15" customHeight="1" x14ac:dyDescent="0.35">
      <c r="A152" s="18">
        <v>143</v>
      </c>
      <c r="B152" s="18" t="s">
        <v>7</v>
      </c>
      <c r="C152" s="19" t="s">
        <v>273</v>
      </c>
      <c r="D152" s="19" t="s">
        <v>48</v>
      </c>
      <c r="E152" s="20"/>
      <c r="F152" s="21" t="s">
        <v>59</v>
      </c>
      <c r="G152" s="19" t="s">
        <v>56</v>
      </c>
      <c r="H152" s="18" t="s">
        <v>57</v>
      </c>
      <c r="I152" s="20" t="s">
        <v>301</v>
      </c>
      <c r="J152" s="20"/>
    </row>
  </sheetData>
  <autoFilter ref="A4:J152" xr:uid="{00000000-0009-0000-0000-000001000000}"/>
  <mergeCells count="5">
    <mergeCell ref="A5:J5"/>
    <mergeCell ref="A97:J97"/>
    <mergeCell ref="A106:J106"/>
    <mergeCell ref="A115:J115"/>
    <mergeCell ref="A134:J134"/>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23"/>
  <sheetViews>
    <sheetView zoomScaleNormal="100" workbookViewId="0">
      <pane ySplit="4" topLeftCell="A5" activePane="bottomLeft" state="frozen"/>
      <selection pane="bottomLeft"/>
    </sheetView>
  </sheetViews>
  <sheetFormatPr baseColWidth="10" defaultColWidth="8.6328125" defaultRowHeight="14.5" x14ac:dyDescent="0.35"/>
  <cols>
    <col min="1" max="1" width="5" customWidth="1"/>
    <col min="2" max="2" width="11" customWidth="1"/>
    <col min="3" max="3" width="30" customWidth="1"/>
    <col min="4" max="4" width="16" customWidth="1"/>
    <col min="5" max="5" width="34" customWidth="1"/>
    <col min="6" max="6" width="27" customWidth="1"/>
    <col min="7" max="7" width="26" customWidth="1"/>
    <col min="8" max="8" width="6" customWidth="1"/>
    <col min="9" max="9" width="70" customWidth="1"/>
    <col min="10" max="10" width="46" customWidth="1"/>
  </cols>
  <sheetData>
    <row r="1" spans="1:10" ht="15.75" customHeight="1" x14ac:dyDescent="0.35">
      <c r="A1" s="16" t="s">
        <v>302</v>
      </c>
    </row>
    <row r="2" spans="1:10" ht="15" customHeight="1" x14ac:dyDescent="0.35">
      <c r="A2" s="15" t="s">
        <v>303</v>
      </c>
    </row>
    <row r="4" spans="1:10" ht="15" customHeight="1" x14ac:dyDescent="0.35">
      <c r="A4" s="17" t="s">
        <v>23</v>
      </c>
      <c r="B4" s="17" t="s">
        <v>24</v>
      </c>
      <c r="C4" s="17" t="s">
        <v>25</v>
      </c>
      <c r="D4" s="17" t="s">
        <v>26</v>
      </c>
      <c r="E4" s="17" t="s">
        <v>27</v>
      </c>
      <c r="F4" s="17" t="s">
        <v>28</v>
      </c>
      <c r="G4" s="17" t="s">
        <v>29</v>
      </c>
      <c r="H4" s="17" t="s">
        <v>30</v>
      </c>
      <c r="I4" s="17" t="s">
        <v>31</v>
      </c>
      <c r="J4" s="17" t="s">
        <v>32</v>
      </c>
    </row>
    <row r="5" spans="1:10" ht="15" customHeight="1" x14ac:dyDescent="0.35">
      <c r="A5" s="4" t="s">
        <v>304</v>
      </c>
      <c r="B5" s="4"/>
      <c r="C5" s="4"/>
      <c r="D5" s="4"/>
      <c r="E5" s="4"/>
      <c r="F5" s="4"/>
      <c r="G5" s="4"/>
      <c r="H5" s="4"/>
      <c r="I5" s="4"/>
      <c r="J5" s="4"/>
    </row>
    <row r="6" spans="1:10" ht="15" customHeight="1" x14ac:dyDescent="0.35">
      <c r="A6" s="18">
        <v>1</v>
      </c>
      <c r="B6" s="18" t="s">
        <v>5</v>
      </c>
      <c r="C6" s="19" t="s">
        <v>304</v>
      </c>
      <c r="D6" s="19" t="s">
        <v>34</v>
      </c>
      <c r="E6" s="20"/>
      <c r="F6" s="21" t="s">
        <v>305</v>
      </c>
      <c r="G6" s="19" t="s">
        <v>36</v>
      </c>
      <c r="H6" s="18" t="s">
        <v>37</v>
      </c>
      <c r="I6" s="20" t="s">
        <v>306</v>
      </c>
      <c r="J6" s="20"/>
    </row>
    <row r="7" spans="1:10" ht="15" customHeight="1" x14ac:dyDescent="0.35">
      <c r="A7" s="18">
        <v>2</v>
      </c>
      <c r="B7" s="18" t="s">
        <v>5</v>
      </c>
      <c r="C7" s="19" t="s">
        <v>304</v>
      </c>
      <c r="D7" s="19" t="s">
        <v>34</v>
      </c>
      <c r="E7" s="20"/>
      <c r="F7" s="21" t="s">
        <v>39</v>
      </c>
      <c r="G7" s="19" t="s">
        <v>40</v>
      </c>
      <c r="H7" s="18" t="s">
        <v>37</v>
      </c>
      <c r="I7" s="20" t="s">
        <v>307</v>
      </c>
      <c r="J7" s="20"/>
    </row>
    <row r="8" spans="1:10" ht="15" customHeight="1" x14ac:dyDescent="0.35">
      <c r="A8" s="18">
        <v>3</v>
      </c>
      <c r="B8" s="18" t="s">
        <v>5</v>
      </c>
      <c r="C8" s="19" t="s">
        <v>304</v>
      </c>
      <c r="D8" s="19" t="s">
        <v>34</v>
      </c>
      <c r="E8" s="20"/>
      <c r="F8" s="21" t="s">
        <v>42</v>
      </c>
      <c r="G8" s="19" t="s">
        <v>43</v>
      </c>
      <c r="H8" s="18" t="s">
        <v>37</v>
      </c>
      <c r="I8" s="20" t="s">
        <v>308</v>
      </c>
      <c r="J8" s="20"/>
    </row>
    <row r="9" spans="1:10" ht="15" customHeight="1" x14ac:dyDescent="0.35">
      <c r="A9" s="18">
        <v>4</v>
      </c>
      <c r="B9" s="18" t="s">
        <v>5</v>
      </c>
      <c r="C9" s="19" t="s">
        <v>304</v>
      </c>
      <c r="D9" s="19" t="s">
        <v>34</v>
      </c>
      <c r="E9" s="20"/>
      <c r="F9" s="21" t="s">
        <v>45</v>
      </c>
      <c r="G9" s="19" t="s">
        <v>309</v>
      </c>
      <c r="H9" s="18" t="s">
        <v>46</v>
      </c>
      <c r="I9" s="20" t="s">
        <v>310</v>
      </c>
      <c r="J9" s="20"/>
    </row>
    <row r="10" spans="1:10" ht="15" customHeight="1" x14ac:dyDescent="0.35">
      <c r="A10" s="18">
        <v>5</v>
      </c>
      <c r="B10" s="18" t="s">
        <v>7</v>
      </c>
      <c r="C10" s="19" t="s">
        <v>304</v>
      </c>
      <c r="D10" s="19" t="s">
        <v>48</v>
      </c>
      <c r="E10" s="20"/>
      <c r="F10" s="21" t="s">
        <v>311</v>
      </c>
      <c r="G10" s="19" t="s">
        <v>40</v>
      </c>
      <c r="H10" s="18" t="s">
        <v>50</v>
      </c>
      <c r="I10" s="20" t="s">
        <v>312</v>
      </c>
      <c r="J10" s="20"/>
    </row>
    <row r="11" spans="1:10" ht="23.25" customHeight="1" x14ac:dyDescent="0.35">
      <c r="A11" s="18">
        <v>6</v>
      </c>
      <c r="B11" s="22" t="s">
        <v>3</v>
      </c>
      <c r="C11" s="19" t="s">
        <v>304</v>
      </c>
      <c r="D11" s="19" t="s">
        <v>48</v>
      </c>
      <c r="E11" s="20"/>
      <c r="F11" s="21" t="s">
        <v>313</v>
      </c>
      <c r="G11" s="19" t="s">
        <v>56</v>
      </c>
      <c r="H11" s="18" t="s">
        <v>57</v>
      </c>
      <c r="I11" s="20" t="s">
        <v>314</v>
      </c>
      <c r="J11" s="20"/>
    </row>
    <row r="12" spans="1:10" ht="23.25" customHeight="1" x14ac:dyDescent="0.35">
      <c r="A12" s="18">
        <v>7</v>
      </c>
      <c r="B12" s="22" t="s">
        <v>3</v>
      </c>
      <c r="C12" s="19" t="s">
        <v>304</v>
      </c>
      <c r="D12" s="19" t="s">
        <v>48</v>
      </c>
      <c r="E12" s="20"/>
      <c r="F12" s="21" t="s">
        <v>315</v>
      </c>
      <c r="G12" s="19" t="s">
        <v>316</v>
      </c>
      <c r="H12" s="18" t="s">
        <v>50</v>
      </c>
      <c r="I12" s="20" t="s">
        <v>317</v>
      </c>
      <c r="J12" s="20"/>
    </row>
    <row r="13" spans="1:10" ht="23.25" customHeight="1" x14ac:dyDescent="0.35">
      <c r="A13" s="18">
        <v>8</v>
      </c>
      <c r="B13" s="22" t="s">
        <v>3</v>
      </c>
      <c r="C13" s="19" t="s">
        <v>304</v>
      </c>
      <c r="D13" s="19" t="s">
        <v>48</v>
      </c>
      <c r="E13" s="20"/>
      <c r="F13" s="21" t="s">
        <v>318</v>
      </c>
      <c r="G13" s="19" t="s">
        <v>319</v>
      </c>
      <c r="H13" s="18" t="s">
        <v>50</v>
      </c>
      <c r="I13" s="20" t="s">
        <v>320</v>
      </c>
      <c r="J13" s="20"/>
    </row>
    <row r="14" spans="1:10" ht="23.25" customHeight="1" x14ac:dyDescent="0.35">
      <c r="A14" s="18">
        <v>9</v>
      </c>
      <c r="B14" s="22" t="s">
        <v>3</v>
      </c>
      <c r="C14" s="19" t="s">
        <v>304</v>
      </c>
      <c r="D14" s="19" t="s">
        <v>48</v>
      </c>
      <c r="E14" s="20"/>
      <c r="F14" s="21" t="s">
        <v>321</v>
      </c>
      <c r="G14" s="19" t="s">
        <v>316</v>
      </c>
      <c r="H14" s="18" t="s">
        <v>50</v>
      </c>
      <c r="I14" s="20" t="s">
        <v>322</v>
      </c>
      <c r="J14" s="20"/>
    </row>
    <row r="15" spans="1:10" ht="23.25" customHeight="1" x14ac:dyDescent="0.35">
      <c r="A15" s="18">
        <v>10</v>
      </c>
      <c r="B15" s="22" t="s">
        <v>3</v>
      </c>
      <c r="C15" s="19" t="s">
        <v>304</v>
      </c>
      <c r="D15" s="19" t="s">
        <v>48</v>
      </c>
      <c r="E15" s="20" t="s">
        <v>323</v>
      </c>
      <c r="F15" s="21" t="s">
        <v>252</v>
      </c>
      <c r="G15" s="19" t="s">
        <v>36</v>
      </c>
      <c r="H15" s="18" t="s">
        <v>37</v>
      </c>
      <c r="I15" s="20" t="s">
        <v>253</v>
      </c>
      <c r="J15" s="20"/>
    </row>
    <row r="16" spans="1:10" ht="23.25" customHeight="1" x14ac:dyDescent="0.35">
      <c r="A16" s="18">
        <v>11</v>
      </c>
      <c r="B16" s="22" t="s">
        <v>3</v>
      </c>
      <c r="C16" s="19" t="s">
        <v>304</v>
      </c>
      <c r="D16" s="19" t="s">
        <v>48</v>
      </c>
      <c r="E16" s="20" t="s">
        <v>323</v>
      </c>
      <c r="F16" s="21" t="s">
        <v>254</v>
      </c>
      <c r="G16" s="19" t="s">
        <v>40</v>
      </c>
      <c r="H16" s="18" t="s">
        <v>37</v>
      </c>
      <c r="I16" s="20" t="s">
        <v>255</v>
      </c>
      <c r="J16" s="20"/>
    </row>
    <row r="17" spans="1:10" ht="23.25" customHeight="1" x14ac:dyDescent="0.35">
      <c r="A17" s="18">
        <v>12</v>
      </c>
      <c r="B17" s="22" t="s">
        <v>3</v>
      </c>
      <c r="C17" s="19" t="s">
        <v>304</v>
      </c>
      <c r="D17" s="19" t="s">
        <v>48</v>
      </c>
      <c r="E17" s="20" t="s">
        <v>323</v>
      </c>
      <c r="F17" s="21" t="s">
        <v>256</v>
      </c>
      <c r="G17" s="19" t="s">
        <v>40</v>
      </c>
      <c r="H17" s="18" t="s">
        <v>37</v>
      </c>
      <c r="I17" s="20" t="s">
        <v>257</v>
      </c>
      <c r="J17" s="20"/>
    </row>
    <row r="18" spans="1:10" ht="23.25" customHeight="1" x14ac:dyDescent="0.35">
      <c r="A18" s="18">
        <v>13</v>
      </c>
      <c r="B18" s="22" t="s">
        <v>3</v>
      </c>
      <c r="C18" s="19" t="s">
        <v>304</v>
      </c>
      <c r="D18" s="19" t="s">
        <v>48</v>
      </c>
      <c r="E18" s="20" t="s">
        <v>323</v>
      </c>
      <c r="F18" s="21" t="s">
        <v>258</v>
      </c>
      <c r="G18" s="19" t="s">
        <v>40</v>
      </c>
      <c r="H18" s="18" t="s">
        <v>37</v>
      </c>
      <c r="I18" s="20" t="s">
        <v>259</v>
      </c>
      <c r="J18" s="20"/>
    </row>
    <row r="19" spans="1:10" ht="23.25" customHeight="1" x14ac:dyDescent="0.35">
      <c r="A19" s="18">
        <v>14</v>
      </c>
      <c r="B19" s="22" t="s">
        <v>3</v>
      </c>
      <c r="C19" s="19" t="s">
        <v>304</v>
      </c>
      <c r="D19" s="19" t="s">
        <v>48</v>
      </c>
      <c r="E19" s="20" t="s">
        <v>61</v>
      </c>
      <c r="F19" s="21" t="s">
        <v>62</v>
      </c>
      <c r="G19" s="19" t="s">
        <v>36</v>
      </c>
      <c r="H19" s="18" t="s">
        <v>37</v>
      </c>
      <c r="I19" s="20" t="s">
        <v>63</v>
      </c>
      <c r="J19" s="20"/>
    </row>
    <row r="20" spans="1:10" ht="23.25" customHeight="1" x14ac:dyDescent="0.35">
      <c r="A20" s="18">
        <v>15</v>
      </c>
      <c r="B20" s="22" t="s">
        <v>3</v>
      </c>
      <c r="C20" s="19" t="s">
        <v>304</v>
      </c>
      <c r="D20" s="19" t="s">
        <v>48</v>
      </c>
      <c r="E20" s="20" t="s">
        <v>61</v>
      </c>
      <c r="F20" s="21" t="s">
        <v>64</v>
      </c>
      <c r="G20" s="19" t="s">
        <v>40</v>
      </c>
      <c r="H20" s="18" t="s">
        <v>37</v>
      </c>
      <c r="I20" s="20" t="s">
        <v>65</v>
      </c>
      <c r="J20" s="20"/>
    </row>
    <row r="21" spans="1:10" ht="23.25" customHeight="1" x14ac:dyDescent="0.35">
      <c r="A21" s="18">
        <v>16</v>
      </c>
      <c r="B21" s="22" t="s">
        <v>3</v>
      </c>
      <c r="C21" s="19" t="s">
        <v>304</v>
      </c>
      <c r="D21" s="19" t="s">
        <v>48</v>
      </c>
      <c r="E21" s="20" t="s">
        <v>61</v>
      </c>
      <c r="F21" s="21" t="s">
        <v>66</v>
      </c>
      <c r="G21" s="19" t="s">
        <v>40</v>
      </c>
      <c r="H21" s="18" t="s">
        <v>37</v>
      </c>
      <c r="I21" s="20" t="s">
        <v>67</v>
      </c>
      <c r="J21" s="20"/>
    </row>
    <row r="22" spans="1:10" ht="23.25" customHeight="1" x14ac:dyDescent="0.35">
      <c r="A22" s="18">
        <v>17</v>
      </c>
      <c r="B22" s="22" t="s">
        <v>3</v>
      </c>
      <c r="C22" s="19" t="s">
        <v>304</v>
      </c>
      <c r="D22" s="19" t="s">
        <v>48</v>
      </c>
      <c r="E22" s="20" t="s">
        <v>61</v>
      </c>
      <c r="F22" s="21" t="s">
        <v>68</v>
      </c>
      <c r="G22" s="19" t="s">
        <v>40</v>
      </c>
      <c r="H22" s="18" t="s">
        <v>37</v>
      </c>
      <c r="I22" s="20" t="s">
        <v>69</v>
      </c>
      <c r="J22" s="20"/>
    </row>
    <row r="23" spans="1:10" ht="15" customHeight="1" x14ac:dyDescent="0.35">
      <c r="A23" s="18">
        <v>18</v>
      </c>
      <c r="B23" s="22" t="s">
        <v>3</v>
      </c>
      <c r="C23" s="19" t="s">
        <v>304</v>
      </c>
      <c r="D23" s="19" t="s">
        <v>48</v>
      </c>
      <c r="E23" s="20"/>
      <c r="F23" s="21" t="s">
        <v>324</v>
      </c>
      <c r="G23" s="19" t="s">
        <v>325</v>
      </c>
      <c r="H23" s="18" t="s">
        <v>57</v>
      </c>
      <c r="I23" s="20" t="s">
        <v>326</v>
      </c>
      <c r="J23" s="20"/>
    </row>
    <row r="24" spans="1:10" ht="15" customHeight="1" x14ac:dyDescent="0.35">
      <c r="A24" s="18">
        <v>19</v>
      </c>
      <c r="B24" s="22" t="s">
        <v>3</v>
      </c>
      <c r="C24" s="19" t="s">
        <v>304</v>
      </c>
      <c r="D24" s="19" t="s">
        <v>48</v>
      </c>
      <c r="E24" s="20" t="s">
        <v>327</v>
      </c>
      <c r="F24" s="21" t="s">
        <v>328</v>
      </c>
      <c r="G24" s="19" t="s">
        <v>36</v>
      </c>
      <c r="H24" s="18" t="s">
        <v>37</v>
      </c>
      <c r="I24" s="20" t="s">
        <v>329</v>
      </c>
      <c r="J24" s="20"/>
    </row>
    <row r="25" spans="1:10" ht="15" customHeight="1" x14ac:dyDescent="0.35">
      <c r="A25" s="18">
        <v>20</v>
      </c>
      <c r="B25" s="22" t="s">
        <v>3</v>
      </c>
      <c r="C25" s="19" t="s">
        <v>304</v>
      </c>
      <c r="D25" s="19" t="s">
        <v>48</v>
      </c>
      <c r="E25" s="20" t="s">
        <v>327</v>
      </c>
      <c r="F25" s="21" t="s">
        <v>330</v>
      </c>
      <c r="G25" s="19" t="s">
        <v>40</v>
      </c>
      <c r="H25" s="18" t="s">
        <v>37</v>
      </c>
      <c r="I25" s="20" t="s">
        <v>331</v>
      </c>
      <c r="J25" s="20"/>
    </row>
    <row r="26" spans="1:10" ht="15" customHeight="1" x14ac:dyDescent="0.35">
      <c r="A26" s="18">
        <v>21</v>
      </c>
      <c r="B26" s="22" t="s">
        <v>3</v>
      </c>
      <c r="C26" s="19" t="s">
        <v>304</v>
      </c>
      <c r="D26" s="19" t="s">
        <v>48</v>
      </c>
      <c r="E26" s="20" t="s">
        <v>327</v>
      </c>
      <c r="F26" s="21" t="s">
        <v>332</v>
      </c>
      <c r="G26" s="19" t="s">
        <v>40</v>
      </c>
      <c r="H26" s="18" t="s">
        <v>37</v>
      </c>
      <c r="I26" s="20" t="s">
        <v>333</v>
      </c>
      <c r="J26" s="20"/>
    </row>
    <row r="27" spans="1:10" ht="15" customHeight="1" x14ac:dyDescent="0.35">
      <c r="A27" s="18">
        <v>22</v>
      </c>
      <c r="B27" s="22" t="s">
        <v>3</v>
      </c>
      <c r="C27" s="19" t="s">
        <v>304</v>
      </c>
      <c r="D27" s="19" t="s">
        <v>48</v>
      </c>
      <c r="E27" s="20" t="s">
        <v>327</v>
      </c>
      <c r="F27" s="21" t="s">
        <v>334</v>
      </c>
      <c r="G27" s="19" t="s">
        <v>40</v>
      </c>
      <c r="H27" s="18" t="s">
        <v>37</v>
      </c>
      <c r="I27" s="20" t="s">
        <v>335</v>
      </c>
      <c r="J27" s="20"/>
    </row>
    <row r="28" spans="1:10" ht="15" customHeight="1" x14ac:dyDescent="0.35">
      <c r="A28" s="18">
        <v>23</v>
      </c>
      <c r="B28" s="22" t="s">
        <v>3</v>
      </c>
      <c r="C28" s="19" t="s">
        <v>304</v>
      </c>
      <c r="D28" s="19" t="s">
        <v>48</v>
      </c>
      <c r="E28" s="20"/>
      <c r="F28" s="21" t="s">
        <v>336</v>
      </c>
      <c r="G28" s="19" t="s">
        <v>316</v>
      </c>
      <c r="H28" s="18" t="s">
        <v>57</v>
      </c>
      <c r="I28" s="20" t="s">
        <v>337</v>
      </c>
      <c r="J28" s="20"/>
    </row>
    <row r="29" spans="1:10" ht="15" customHeight="1" x14ac:dyDescent="0.35">
      <c r="A29" s="18">
        <v>24</v>
      </c>
      <c r="B29" s="22" t="s">
        <v>3</v>
      </c>
      <c r="C29" s="19" t="s">
        <v>304</v>
      </c>
      <c r="D29" s="19" t="s">
        <v>48</v>
      </c>
      <c r="E29" s="20" t="s">
        <v>327</v>
      </c>
      <c r="F29" s="21" t="s">
        <v>338</v>
      </c>
      <c r="G29" s="19" t="s">
        <v>36</v>
      </c>
      <c r="H29" s="18" t="s">
        <v>37</v>
      </c>
      <c r="I29" s="20" t="s">
        <v>339</v>
      </c>
      <c r="J29" s="20"/>
    </row>
    <row r="30" spans="1:10" ht="15" customHeight="1" x14ac:dyDescent="0.35">
      <c r="A30" s="18">
        <v>25</v>
      </c>
      <c r="B30" s="22" t="s">
        <v>3</v>
      </c>
      <c r="C30" s="19" t="s">
        <v>304</v>
      </c>
      <c r="D30" s="19" t="s">
        <v>48</v>
      </c>
      <c r="E30" s="20" t="s">
        <v>327</v>
      </c>
      <c r="F30" s="21" t="s">
        <v>340</v>
      </c>
      <c r="G30" s="19" t="s">
        <v>40</v>
      </c>
      <c r="H30" s="18" t="s">
        <v>37</v>
      </c>
      <c r="I30" s="20" t="s">
        <v>341</v>
      </c>
      <c r="J30" s="20"/>
    </row>
    <row r="31" spans="1:10" ht="15" customHeight="1" x14ac:dyDescent="0.35">
      <c r="A31" s="18">
        <v>26</v>
      </c>
      <c r="B31" s="22" t="s">
        <v>3</v>
      </c>
      <c r="C31" s="19" t="s">
        <v>304</v>
      </c>
      <c r="D31" s="19" t="s">
        <v>48</v>
      </c>
      <c r="E31" s="20" t="s">
        <v>327</v>
      </c>
      <c r="F31" s="21" t="s">
        <v>342</v>
      </c>
      <c r="G31" s="19" t="s">
        <v>40</v>
      </c>
      <c r="H31" s="18" t="s">
        <v>37</v>
      </c>
      <c r="I31" s="20" t="s">
        <v>343</v>
      </c>
      <c r="J31" s="20"/>
    </row>
    <row r="32" spans="1:10" ht="15" customHeight="1" x14ac:dyDescent="0.35">
      <c r="A32" s="18">
        <v>27</v>
      </c>
      <c r="B32" s="22" t="s">
        <v>3</v>
      </c>
      <c r="C32" s="19" t="s">
        <v>304</v>
      </c>
      <c r="D32" s="19" t="s">
        <v>48</v>
      </c>
      <c r="E32" s="20" t="s">
        <v>327</v>
      </c>
      <c r="F32" s="21" t="s">
        <v>344</v>
      </c>
      <c r="G32" s="19" t="s">
        <v>40</v>
      </c>
      <c r="H32" s="18" t="s">
        <v>37</v>
      </c>
      <c r="I32" s="20" t="s">
        <v>345</v>
      </c>
      <c r="J32" s="20"/>
    </row>
    <row r="33" spans="1:10" ht="23.25" customHeight="1" x14ac:dyDescent="0.35">
      <c r="A33" s="18">
        <v>28</v>
      </c>
      <c r="B33" s="22" t="s">
        <v>3</v>
      </c>
      <c r="C33" s="19" t="s">
        <v>304</v>
      </c>
      <c r="D33" s="19" t="s">
        <v>48</v>
      </c>
      <c r="E33" s="20"/>
      <c r="F33" s="21" t="s">
        <v>346</v>
      </c>
      <c r="G33" s="19" t="s">
        <v>56</v>
      </c>
      <c r="H33" s="18" t="s">
        <v>57</v>
      </c>
      <c r="I33" s="20" t="s">
        <v>347</v>
      </c>
      <c r="J33" s="23" t="s">
        <v>348</v>
      </c>
    </row>
    <row r="34" spans="1:10" ht="15" customHeight="1" x14ac:dyDescent="0.35">
      <c r="A34" s="18">
        <v>29</v>
      </c>
      <c r="B34" s="22" t="s">
        <v>3</v>
      </c>
      <c r="C34" s="19" t="s">
        <v>304</v>
      </c>
      <c r="D34" s="19" t="s">
        <v>48</v>
      </c>
      <c r="E34" s="20"/>
      <c r="F34" s="21" t="s">
        <v>349</v>
      </c>
      <c r="G34" s="19" t="s">
        <v>56</v>
      </c>
      <c r="H34" s="18" t="s">
        <v>57</v>
      </c>
      <c r="I34" s="20" t="s">
        <v>350</v>
      </c>
      <c r="J34" s="20"/>
    </row>
    <row r="35" spans="1:10" ht="15" customHeight="1" x14ac:dyDescent="0.35">
      <c r="A35" s="18">
        <v>30</v>
      </c>
      <c r="B35" s="22" t="s">
        <v>3</v>
      </c>
      <c r="C35" s="19" t="s">
        <v>304</v>
      </c>
      <c r="D35" s="19" t="s">
        <v>48</v>
      </c>
      <c r="E35" s="20"/>
      <c r="F35" s="21" t="s">
        <v>351</v>
      </c>
      <c r="G35" s="19" t="s">
        <v>56</v>
      </c>
      <c r="H35" s="18" t="s">
        <v>57</v>
      </c>
      <c r="I35" s="20" t="s">
        <v>352</v>
      </c>
      <c r="J35" s="20"/>
    </row>
    <row r="36" spans="1:10" ht="15" customHeight="1" x14ac:dyDescent="0.35">
      <c r="A36" s="18">
        <v>31</v>
      </c>
      <c r="B36" s="22" t="s">
        <v>3</v>
      </c>
      <c r="C36" s="19" t="s">
        <v>304</v>
      </c>
      <c r="D36" s="19" t="s">
        <v>48</v>
      </c>
      <c r="E36" s="20"/>
      <c r="F36" s="21" t="s">
        <v>353</v>
      </c>
      <c r="G36" s="19" t="s">
        <v>354</v>
      </c>
      <c r="H36" s="18" t="s">
        <v>57</v>
      </c>
      <c r="I36" s="20" t="s">
        <v>355</v>
      </c>
      <c r="J36" s="23" t="s">
        <v>356</v>
      </c>
    </row>
    <row r="37" spans="1:10" ht="23.25" customHeight="1" x14ac:dyDescent="0.35">
      <c r="A37" s="18">
        <v>32</v>
      </c>
      <c r="B37" s="22" t="s">
        <v>3</v>
      </c>
      <c r="C37" s="19" t="s">
        <v>304</v>
      </c>
      <c r="D37" s="19" t="s">
        <v>48</v>
      </c>
      <c r="E37" s="20"/>
      <c r="F37" s="21" t="s">
        <v>357</v>
      </c>
      <c r="G37" s="19" t="s">
        <v>56</v>
      </c>
      <c r="H37" s="18" t="s">
        <v>57</v>
      </c>
      <c r="I37" s="20" t="s">
        <v>358</v>
      </c>
      <c r="J37" s="20"/>
    </row>
    <row r="38" spans="1:10" ht="23.25" customHeight="1" x14ac:dyDescent="0.35">
      <c r="A38" s="18">
        <v>33</v>
      </c>
      <c r="B38" s="22" t="s">
        <v>3</v>
      </c>
      <c r="C38" s="19" t="s">
        <v>304</v>
      </c>
      <c r="D38" s="19" t="s">
        <v>48</v>
      </c>
      <c r="E38" s="20"/>
      <c r="F38" s="21" t="s">
        <v>359</v>
      </c>
      <c r="G38" s="19" t="s">
        <v>56</v>
      </c>
      <c r="H38" s="18" t="s">
        <v>57</v>
      </c>
      <c r="I38" s="20" t="s">
        <v>360</v>
      </c>
      <c r="J38" s="20"/>
    </row>
    <row r="39" spans="1:10" ht="23.25" customHeight="1" x14ac:dyDescent="0.35">
      <c r="A39" s="18">
        <v>34</v>
      </c>
      <c r="B39" s="22" t="s">
        <v>3</v>
      </c>
      <c r="C39" s="19" t="s">
        <v>304</v>
      </c>
      <c r="D39" s="19" t="s">
        <v>48</v>
      </c>
      <c r="E39" s="20"/>
      <c r="F39" s="21" t="s">
        <v>361</v>
      </c>
      <c r="G39" s="19" t="s">
        <v>56</v>
      </c>
      <c r="H39" s="18" t="s">
        <v>57</v>
      </c>
      <c r="I39" s="20" t="s">
        <v>362</v>
      </c>
      <c r="J39" s="20"/>
    </row>
    <row r="40" spans="1:10" ht="23.25" customHeight="1" x14ac:dyDescent="0.35">
      <c r="A40" s="18">
        <v>35</v>
      </c>
      <c r="B40" s="22" t="s">
        <v>3</v>
      </c>
      <c r="C40" s="19" t="s">
        <v>304</v>
      </c>
      <c r="D40" s="19" t="s">
        <v>48</v>
      </c>
      <c r="E40" s="20"/>
      <c r="F40" s="21" t="s">
        <v>363</v>
      </c>
      <c r="G40" s="19" t="s">
        <v>56</v>
      </c>
      <c r="H40" s="18" t="s">
        <v>57</v>
      </c>
      <c r="I40" s="20" t="s">
        <v>364</v>
      </c>
      <c r="J40" s="20"/>
    </row>
    <row r="41" spans="1:10" ht="23.25" customHeight="1" x14ac:dyDescent="0.35">
      <c r="A41" s="18">
        <v>36</v>
      </c>
      <c r="B41" s="22" t="s">
        <v>3</v>
      </c>
      <c r="C41" s="19" t="s">
        <v>304</v>
      </c>
      <c r="D41" s="19" t="s">
        <v>48</v>
      </c>
      <c r="E41" s="20"/>
      <c r="F41" s="21" t="s">
        <v>365</v>
      </c>
      <c r="G41" s="19" t="s">
        <v>56</v>
      </c>
      <c r="H41" s="18" t="s">
        <v>57</v>
      </c>
      <c r="I41" s="20" t="s">
        <v>366</v>
      </c>
      <c r="J41" s="20"/>
    </row>
    <row r="42" spans="1:10" ht="15" customHeight="1" x14ac:dyDescent="0.35">
      <c r="A42" s="18">
        <v>37</v>
      </c>
      <c r="B42" s="22" t="s">
        <v>3</v>
      </c>
      <c r="C42" s="19" t="s">
        <v>304</v>
      </c>
      <c r="D42" s="19" t="s">
        <v>48</v>
      </c>
      <c r="E42" s="20"/>
      <c r="F42" s="21" t="s">
        <v>42</v>
      </c>
      <c r="G42" s="19" t="s">
        <v>43</v>
      </c>
      <c r="H42" s="18" t="s">
        <v>37</v>
      </c>
      <c r="I42" s="20" t="s">
        <v>308</v>
      </c>
      <c r="J42" s="20"/>
    </row>
    <row r="43" spans="1:10" ht="15" customHeight="1" x14ac:dyDescent="0.35">
      <c r="A43" s="18">
        <v>38</v>
      </c>
      <c r="B43" s="18" t="s">
        <v>7</v>
      </c>
      <c r="C43" s="19" t="s">
        <v>304</v>
      </c>
      <c r="D43" s="19" t="s">
        <v>48</v>
      </c>
      <c r="E43" s="20"/>
      <c r="F43" s="21" t="s">
        <v>59</v>
      </c>
      <c r="G43" s="19" t="s">
        <v>56</v>
      </c>
      <c r="H43" s="18" t="s">
        <v>57</v>
      </c>
      <c r="I43" s="20" t="s">
        <v>60</v>
      </c>
      <c r="J43" s="20"/>
    </row>
    <row r="44" spans="1:10" ht="15" customHeight="1" x14ac:dyDescent="0.35">
      <c r="A44" s="4" t="s">
        <v>367</v>
      </c>
      <c r="B44" s="4"/>
      <c r="C44" s="4"/>
      <c r="D44" s="4"/>
      <c r="E44" s="4"/>
      <c r="F44" s="4"/>
      <c r="G44" s="4"/>
      <c r="H44" s="4"/>
      <c r="I44" s="4"/>
      <c r="J44" s="4"/>
    </row>
    <row r="45" spans="1:10" ht="15" customHeight="1" x14ac:dyDescent="0.35">
      <c r="A45" s="18">
        <v>39</v>
      </c>
      <c r="B45" s="18" t="s">
        <v>5</v>
      </c>
      <c r="C45" s="19" t="s">
        <v>367</v>
      </c>
      <c r="D45" s="19" t="s">
        <v>34</v>
      </c>
      <c r="E45" s="20" t="s">
        <v>368</v>
      </c>
      <c r="F45" s="21" t="s">
        <v>305</v>
      </c>
      <c r="G45" s="19" t="s">
        <v>36</v>
      </c>
      <c r="H45" s="18" t="s">
        <v>37</v>
      </c>
      <c r="I45" s="20" t="s">
        <v>306</v>
      </c>
      <c r="J45" s="20"/>
    </row>
    <row r="46" spans="1:10" ht="15" customHeight="1" x14ac:dyDescent="0.35">
      <c r="A46" s="18">
        <v>40</v>
      </c>
      <c r="B46" s="18" t="s">
        <v>5</v>
      </c>
      <c r="C46" s="19" t="s">
        <v>367</v>
      </c>
      <c r="D46" s="19" t="s">
        <v>34</v>
      </c>
      <c r="E46" s="20" t="s">
        <v>368</v>
      </c>
      <c r="F46" s="21" t="s">
        <v>39</v>
      </c>
      <c r="G46" s="19" t="s">
        <v>40</v>
      </c>
      <c r="H46" s="18" t="s">
        <v>37</v>
      </c>
      <c r="I46" s="20" t="s">
        <v>307</v>
      </c>
      <c r="J46" s="20"/>
    </row>
    <row r="47" spans="1:10" ht="15" customHeight="1" x14ac:dyDescent="0.35">
      <c r="A47" s="18">
        <v>41</v>
      </c>
      <c r="B47" s="18" t="s">
        <v>5</v>
      </c>
      <c r="C47" s="19" t="s">
        <v>367</v>
      </c>
      <c r="D47" s="19" t="s">
        <v>34</v>
      </c>
      <c r="E47" s="20" t="s">
        <v>368</v>
      </c>
      <c r="F47" s="21" t="s">
        <v>42</v>
      </c>
      <c r="G47" s="19" t="s">
        <v>43</v>
      </c>
      <c r="H47" s="18" t="s">
        <v>37</v>
      </c>
      <c r="I47" s="20" t="s">
        <v>308</v>
      </c>
      <c r="J47" s="20"/>
    </row>
    <row r="48" spans="1:10" ht="15" customHeight="1" x14ac:dyDescent="0.35">
      <c r="A48" s="18">
        <v>42</v>
      </c>
      <c r="B48" s="18" t="s">
        <v>5</v>
      </c>
      <c r="C48" s="19" t="s">
        <v>367</v>
      </c>
      <c r="D48" s="19" t="s">
        <v>34</v>
      </c>
      <c r="E48" s="20" t="s">
        <v>368</v>
      </c>
      <c r="F48" s="21" t="s">
        <v>45</v>
      </c>
      <c r="G48" s="19" t="s">
        <v>309</v>
      </c>
      <c r="H48" s="18" t="s">
        <v>46</v>
      </c>
      <c r="I48" s="20" t="s">
        <v>310</v>
      </c>
      <c r="J48" s="20"/>
    </row>
    <row r="49" spans="1:10" ht="15" customHeight="1" x14ac:dyDescent="0.35">
      <c r="A49" s="18">
        <v>43</v>
      </c>
      <c r="B49" s="18" t="s">
        <v>5</v>
      </c>
      <c r="C49" s="19" t="s">
        <v>367</v>
      </c>
      <c r="D49" s="19" t="s">
        <v>34</v>
      </c>
      <c r="E49" s="20" t="s">
        <v>230</v>
      </c>
      <c r="F49" s="21" t="s">
        <v>35</v>
      </c>
      <c r="G49" s="19" t="s">
        <v>36</v>
      </c>
      <c r="H49" s="18" t="s">
        <v>37</v>
      </c>
      <c r="I49" s="20" t="s">
        <v>38</v>
      </c>
      <c r="J49" s="20"/>
    </row>
    <row r="50" spans="1:10" ht="15" customHeight="1" x14ac:dyDescent="0.35">
      <c r="A50" s="18">
        <v>44</v>
      </c>
      <c r="B50" s="18" t="s">
        <v>5</v>
      </c>
      <c r="C50" s="19" t="s">
        <v>367</v>
      </c>
      <c r="D50" s="19" t="s">
        <v>34</v>
      </c>
      <c r="E50" s="20" t="s">
        <v>230</v>
      </c>
      <c r="F50" s="21" t="s">
        <v>39</v>
      </c>
      <c r="G50" s="19" t="s">
        <v>40</v>
      </c>
      <c r="H50" s="18" t="s">
        <v>37</v>
      </c>
      <c r="I50" s="20" t="s">
        <v>41</v>
      </c>
      <c r="J50" s="20"/>
    </row>
    <row r="51" spans="1:10" ht="15" customHeight="1" x14ac:dyDescent="0.35">
      <c r="A51" s="18">
        <v>45</v>
      </c>
      <c r="B51" s="18" t="s">
        <v>5</v>
      </c>
      <c r="C51" s="19" t="s">
        <v>367</v>
      </c>
      <c r="D51" s="19" t="s">
        <v>34</v>
      </c>
      <c r="E51" s="20" t="s">
        <v>230</v>
      </c>
      <c r="F51" s="21" t="s">
        <v>42</v>
      </c>
      <c r="G51" s="19" t="s">
        <v>43</v>
      </c>
      <c r="H51" s="18" t="s">
        <v>37</v>
      </c>
      <c r="I51" s="20" t="s">
        <v>44</v>
      </c>
      <c r="J51" s="20"/>
    </row>
    <row r="52" spans="1:10" ht="15" customHeight="1" x14ac:dyDescent="0.35">
      <c r="A52" s="18">
        <v>46</v>
      </c>
      <c r="B52" s="18" t="s">
        <v>5</v>
      </c>
      <c r="C52" s="19" t="s">
        <v>367</v>
      </c>
      <c r="D52" s="19" t="s">
        <v>34</v>
      </c>
      <c r="E52" s="20" t="s">
        <v>230</v>
      </c>
      <c r="F52" s="21" t="s">
        <v>45</v>
      </c>
      <c r="G52" s="19" t="s">
        <v>43</v>
      </c>
      <c r="H52" s="18" t="s">
        <v>46</v>
      </c>
      <c r="I52" s="20" t="s">
        <v>47</v>
      </c>
      <c r="J52" s="20"/>
    </row>
    <row r="53" spans="1:10" ht="23.25" customHeight="1" x14ac:dyDescent="0.35">
      <c r="A53" s="18">
        <v>47</v>
      </c>
      <c r="B53" s="22" t="s">
        <v>3</v>
      </c>
      <c r="C53" s="19" t="s">
        <v>367</v>
      </c>
      <c r="D53" s="19" t="s">
        <v>48</v>
      </c>
      <c r="E53" s="20"/>
      <c r="F53" s="21" t="s">
        <v>369</v>
      </c>
      <c r="G53" s="19" t="s">
        <v>316</v>
      </c>
      <c r="H53" s="18" t="s">
        <v>57</v>
      </c>
      <c r="I53" s="20" t="s">
        <v>370</v>
      </c>
      <c r="J53" s="20"/>
    </row>
    <row r="54" spans="1:10" ht="34.5" customHeight="1" x14ac:dyDescent="0.35">
      <c r="A54" s="18">
        <v>48</v>
      </c>
      <c r="B54" s="22" t="s">
        <v>3</v>
      </c>
      <c r="C54" s="19" t="s">
        <v>367</v>
      </c>
      <c r="D54" s="19" t="s">
        <v>48</v>
      </c>
      <c r="E54" s="20" t="s">
        <v>371</v>
      </c>
      <c r="F54" s="21" t="s">
        <v>71</v>
      </c>
      <c r="G54" s="19" t="s">
        <v>36</v>
      </c>
      <c r="H54" s="18" t="s">
        <v>37</v>
      </c>
      <c r="I54" s="20" t="s">
        <v>72</v>
      </c>
      <c r="J54" s="20"/>
    </row>
    <row r="55" spans="1:10" ht="34.5" customHeight="1" x14ac:dyDescent="0.35">
      <c r="A55" s="18">
        <v>49</v>
      </c>
      <c r="B55" s="22" t="s">
        <v>3</v>
      </c>
      <c r="C55" s="19" t="s">
        <v>367</v>
      </c>
      <c r="D55" s="19" t="s">
        <v>48</v>
      </c>
      <c r="E55" s="20" t="s">
        <v>371</v>
      </c>
      <c r="F55" s="21" t="s">
        <v>73</v>
      </c>
      <c r="G55" s="19" t="s">
        <v>40</v>
      </c>
      <c r="H55" s="18" t="s">
        <v>37</v>
      </c>
      <c r="I55" s="20" t="s">
        <v>74</v>
      </c>
      <c r="J55" s="20"/>
    </row>
    <row r="56" spans="1:10" ht="34.5" customHeight="1" x14ac:dyDescent="0.35">
      <c r="A56" s="18">
        <v>50</v>
      </c>
      <c r="B56" s="22" t="s">
        <v>3</v>
      </c>
      <c r="C56" s="19" t="s">
        <v>367</v>
      </c>
      <c r="D56" s="19" t="s">
        <v>48</v>
      </c>
      <c r="E56" s="20" t="s">
        <v>371</v>
      </c>
      <c r="F56" s="21" t="s">
        <v>75</v>
      </c>
      <c r="G56" s="19" t="s">
        <v>40</v>
      </c>
      <c r="H56" s="18" t="s">
        <v>37</v>
      </c>
      <c r="I56" s="20" t="s">
        <v>76</v>
      </c>
      <c r="J56" s="20"/>
    </row>
    <row r="57" spans="1:10" ht="34.5" customHeight="1" x14ac:dyDescent="0.35">
      <c r="A57" s="18">
        <v>51</v>
      </c>
      <c r="B57" s="22" t="s">
        <v>3</v>
      </c>
      <c r="C57" s="19" t="s">
        <v>367</v>
      </c>
      <c r="D57" s="19" t="s">
        <v>48</v>
      </c>
      <c r="E57" s="20" t="s">
        <v>371</v>
      </c>
      <c r="F57" s="21" t="s">
        <v>77</v>
      </c>
      <c r="G57" s="19" t="s">
        <v>40</v>
      </c>
      <c r="H57" s="18" t="s">
        <v>37</v>
      </c>
      <c r="I57" s="20" t="s">
        <v>78</v>
      </c>
      <c r="J57" s="20"/>
    </row>
    <row r="58" spans="1:10" ht="15" customHeight="1" x14ac:dyDescent="0.35">
      <c r="A58" s="4" t="s">
        <v>372</v>
      </c>
      <c r="B58" s="4"/>
      <c r="C58" s="4"/>
      <c r="D58" s="4"/>
      <c r="E58" s="4"/>
      <c r="F58" s="4"/>
      <c r="G58" s="4"/>
      <c r="H58" s="4"/>
      <c r="I58" s="4"/>
      <c r="J58" s="4"/>
    </row>
    <row r="59" spans="1:10" ht="15" customHeight="1" x14ac:dyDescent="0.35">
      <c r="A59" s="18">
        <v>52</v>
      </c>
      <c r="B59" s="18" t="s">
        <v>5</v>
      </c>
      <c r="C59" s="19" t="s">
        <v>372</v>
      </c>
      <c r="D59" s="19" t="s">
        <v>34</v>
      </c>
      <c r="E59" s="20" t="s">
        <v>368</v>
      </c>
      <c r="F59" s="21" t="s">
        <v>305</v>
      </c>
      <c r="G59" s="19" t="s">
        <v>36</v>
      </c>
      <c r="H59" s="18" t="s">
        <v>37</v>
      </c>
      <c r="I59" s="20" t="s">
        <v>306</v>
      </c>
      <c r="J59" s="20"/>
    </row>
    <row r="60" spans="1:10" ht="15" customHeight="1" x14ac:dyDescent="0.35">
      <c r="A60" s="18">
        <v>53</v>
      </c>
      <c r="B60" s="18" t="s">
        <v>5</v>
      </c>
      <c r="C60" s="19" t="s">
        <v>372</v>
      </c>
      <c r="D60" s="19" t="s">
        <v>34</v>
      </c>
      <c r="E60" s="20" t="s">
        <v>368</v>
      </c>
      <c r="F60" s="21" t="s">
        <v>39</v>
      </c>
      <c r="G60" s="19" t="s">
        <v>40</v>
      </c>
      <c r="H60" s="18" t="s">
        <v>37</v>
      </c>
      <c r="I60" s="20" t="s">
        <v>307</v>
      </c>
      <c r="J60" s="20"/>
    </row>
    <row r="61" spans="1:10" ht="15" customHeight="1" x14ac:dyDescent="0.35">
      <c r="A61" s="18">
        <v>54</v>
      </c>
      <c r="B61" s="18" t="s">
        <v>5</v>
      </c>
      <c r="C61" s="19" t="s">
        <v>372</v>
      </c>
      <c r="D61" s="19" t="s">
        <v>34</v>
      </c>
      <c r="E61" s="20" t="s">
        <v>368</v>
      </c>
      <c r="F61" s="21" t="s">
        <v>42</v>
      </c>
      <c r="G61" s="19" t="s">
        <v>43</v>
      </c>
      <c r="H61" s="18" t="s">
        <v>37</v>
      </c>
      <c r="I61" s="20" t="s">
        <v>308</v>
      </c>
      <c r="J61" s="20"/>
    </row>
    <row r="62" spans="1:10" ht="15" customHeight="1" x14ac:dyDescent="0.35">
      <c r="A62" s="18">
        <v>55</v>
      </c>
      <c r="B62" s="18" t="s">
        <v>5</v>
      </c>
      <c r="C62" s="19" t="s">
        <v>372</v>
      </c>
      <c r="D62" s="19" t="s">
        <v>34</v>
      </c>
      <c r="E62" s="20" t="s">
        <v>368</v>
      </c>
      <c r="F62" s="21" t="s">
        <v>45</v>
      </c>
      <c r="G62" s="19" t="s">
        <v>309</v>
      </c>
      <c r="H62" s="18" t="s">
        <v>46</v>
      </c>
      <c r="I62" s="20" t="s">
        <v>310</v>
      </c>
      <c r="J62" s="20"/>
    </row>
    <row r="63" spans="1:10" ht="15" customHeight="1" x14ac:dyDescent="0.35">
      <c r="A63" s="18">
        <v>56</v>
      </c>
      <c r="B63" s="22" t="s">
        <v>3</v>
      </c>
      <c r="C63" s="19" t="s">
        <v>372</v>
      </c>
      <c r="D63" s="19" t="s">
        <v>34</v>
      </c>
      <c r="E63" s="20" t="s">
        <v>373</v>
      </c>
      <c r="F63" s="21" t="s">
        <v>374</v>
      </c>
      <c r="G63" s="19" t="s">
        <v>36</v>
      </c>
      <c r="H63" s="18" t="s">
        <v>37</v>
      </c>
      <c r="I63" s="20" t="s">
        <v>375</v>
      </c>
      <c r="J63" s="20"/>
    </row>
    <row r="64" spans="1:10" ht="15" customHeight="1" x14ac:dyDescent="0.35">
      <c r="A64" s="18">
        <v>57</v>
      </c>
      <c r="B64" s="22" t="s">
        <v>3</v>
      </c>
      <c r="C64" s="19" t="s">
        <v>372</v>
      </c>
      <c r="D64" s="19" t="s">
        <v>34</v>
      </c>
      <c r="E64" s="20" t="s">
        <v>373</v>
      </c>
      <c r="F64" s="21" t="s">
        <v>376</v>
      </c>
      <c r="G64" s="19" t="s">
        <v>40</v>
      </c>
      <c r="H64" s="18" t="s">
        <v>37</v>
      </c>
      <c r="I64" s="20" t="s">
        <v>377</v>
      </c>
      <c r="J64" s="20"/>
    </row>
    <row r="65" spans="1:10" ht="15" customHeight="1" x14ac:dyDescent="0.35">
      <c r="A65" s="18">
        <v>58</v>
      </c>
      <c r="B65" s="22" t="s">
        <v>3</v>
      </c>
      <c r="C65" s="19" t="s">
        <v>372</v>
      </c>
      <c r="D65" s="19" t="s">
        <v>34</v>
      </c>
      <c r="E65" s="20" t="s">
        <v>373</v>
      </c>
      <c r="F65" s="21" t="s">
        <v>378</v>
      </c>
      <c r="G65" s="19" t="s">
        <v>40</v>
      </c>
      <c r="H65" s="18" t="s">
        <v>37</v>
      </c>
      <c r="I65" s="20" t="s">
        <v>379</v>
      </c>
      <c r="J65" s="20"/>
    </row>
    <row r="66" spans="1:10" ht="15" customHeight="1" x14ac:dyDescent="0.35">
      <c r="A66" s="18">
        <v>59</v>
      </c>
      <c r="B66" s="22" t="s">
        <v>3</v>
      </c>
      <c r="C66" s="19" t="s">
        <v>372</v>
      </c>
      <c r="D66" s="19" t="s">
        <v>34</v>
      </c>
      <c r="E66" s="20" t="s">
        <v>373</v>
      </c>
      <c r="F66" s="21" t="s">
        <v>380</v>
      </c>
      <c r="G66" s="19" t="s">
        <v>40</v>
      </c>
      <c r="H66" s="18" t="s">
        <v>37</v>
      </c>
      <c r="I66" s="20" t="s">
        <v>381</v>
      </c>
      <c r="J66" s="20"/>
    </row>
    <row r="67" spans="1:10" ht="15" customHeight="1" x14ac:dyDescent="0.35">
      <c r="A67" s="18">
        <v>60</v>
      </c>
      <c r="B67" s="18" t="s">
        <v>7</v>
      </c>
      <c r="C67" s="19" t="s">
        <v>372</v>
      </c>
      <c r="D67" s="19" t="s">
        <v>48</v>
      </c>
      <c r="E67" s="20"/>
      <c r="F67" s="21" t="s">
        <v>59</v>
      </c>
      <c r="G67" s="19" t="s">
        <v>56</v>
      </c>
      <c r="H67" s="18" t="s">
        <v>57</v>
      </c>
      <c r="I67" s="20" t="s">
        <v>60</v>
      </c>
      <c r="J67" s="20"/>
    </row>
    <row r="68" spans="1:10" ht="15" customHeight="1" x14ac:dyDescent="0.35">
      <c r="A68" s="4" t="s">
        <v>382</v>
      </c>
      <c r="B68" s="4"/>
      <c r="C68" s="4"/>
      <c r="D68" s="4"/>
      <c r="E68" s="4"/>
      <c r="F68" s="4"/>
      <c r="G68" s="4"/>
      <c r="H68" s="4"/>
      <c r="I68" s="4"/>
      <c r="J68" s="4"/>
    </row>
    <row r="69" spans="1:10" ht="15" customHeight="1" x14ac:dyDescent="0.35">
      <c r="A69" s="18">
        <v>61</v>
      </c>
      <c r="B69" s="18" t="s">
        <v>5</v>
      </c>
      <c r="C69" s="19" t="s">
        <v>382</v>
      </c>
      <c r="D69" s="19" t="s">
        <v>34</v>
      </c>
      <c r="E69" s="20" t="s">
        <v>368</v>
      </c>
      <c r="F69" s="21" t="s">
        <v>305</v>
      </c>
      <c r="G69" s="19" t="s">
        <v>36</v>
      </c>
      <c r="H69" s="18" t="s">
        <v>37</v>
      </c>
      <c r="I69" s="20" t="s">
        <v>306</v>
      </c>
      <c r="J69" s="20"/>
    </row>
    <row r="70" spans="1:10" ht="15" customHeight="1" x14ac:dyDescent="0.35">
      <c r="A70" s="18">
        <v>62</v>
      </c>
      <c r="B70" s="18" t="s">
        <v>5</v>
      </c>
      <c r="C70" s="19" t="s">
        <v>382</v>
      </c>
      <c r="D70" s="19" t="s">
        <v>34</v>
      </c>
      <c r="E70" s="20" t="s">
        <v>368</v>
      </c>
      <c r="F70" s="21" t="s">
        <v>39</v>
      </c>
      <c r="G70" s="19" t="s">
        <v>40</v>
      </c>
      <c r="H70" s="18" t="s">
        <v>37</v>
      </c>
      <c r="I70" s="20" t="s">
        <v>307</v>
      </c>
      <c r="J70" s="20"/>
    </row>
    <row r="71" spans="1:10" ht="15" customHeight="1" x14ac:dyDescent="0.35">
      <c r="A71" s="18">
        <v>63</v>
      </c>
      <c r="B71" s="18" t="s">
        <v>5</v>
      </c>
      <c r="C71" s="19" t="s">
        <v>382</v>
      </c>
      <c r="D71" s="19" t="s">
        <v>34</v>
      </c>
      <c r="E71" s="20" t="s">
        <v>368</v>
      </c>
      <c r="F71" s="21" t="s">
        <v>42</v>
      </c>
      <c r="G71" s="19" t="s">
        <v>43</v>
      </c>
      <c r="H71" s="18" t="s">
        <v>37</v>
      </c>
      <c r="I71" s="20" t="s">
        <v>308</v>
      </c>
      <c r="J71" s="20"/>
    </row>
    <row r="72" spans="1:10" ht="15" customHeight="1" x14ac:dyDescent="0.35">
      <c r="A72" s="18">
        <v>64</v>
      </c>
      <c r="B72" s="18" t="s">
        <v>5</v>
      </c>
      <c r="C72" s="19" t="s">
        <v>382</v>
      </c>
      <c r="D72" s="19" t="s">
        <v>34</v>
      </c>
      <c r="E72" s="20" t="s">
        <v>368</v>
      </c>
      <c r="F72" s="21" t="s">
        <v>45</v>
      </c>
      <c r="G72" s="19" t="s">
        <v>309</v>
      </c>
      <c r="H72" s="18" t="s">
        <v>46</v>
      </c>
      <c r="I72" s="20" t="s">
        <v>310</v>
      </c>
      <c r="J72" s="20"/>
    </row>
    <row r="73" spans="1:10" ht="15" customHeight="1" x14ac:dyDescent="0.35">
      <c r="A73" s="18">
        <v>65</v>
      </c>
      <c r="B73" s="22" t="s">
        <v>3</v>
      </c>
      <c r="C73" s="19" t="s">
        <v>382</v>
      </c>
      <c r="D73" s="19" t="s">
        <v>34</v>
      </c>
      <c r="E73" s="20" t="s">
        <v>231</v>
      </c>
      <c r="F73" s="21" t="s">
        <v>232</v>
      </c>
      <c r="G73" s="19" t="s">
        <v>36</v>
      </c>
      <c r="H73" s="18" t="s">
        <v>37</v>
      </c>
      <c r="I73" s="20" t="s">
        <v>233</v>
      </c>
      <c r="J73" s="20"/>
    </row>
    <row r="74" spans="1:10" ht="15" customHeight="1" x14ac:dyDescent="0.35">
      <c r="A74" s="18">
        <v>66</v>
      </c>
      <c r="B74" s="22" t="s">
        <v>3</v>
      </c>
      <c r="C74" s="19" t="s">
        <v>382</v>
      </c>
      <c r="D74" s="19" t="s">
        <v>34</v>
      </c>
      <c r="E74" s="20" t="s">
        <v>231</v>
      </c>
      <c r="F74" s="21" t="s">
        <v>234</v>
      </c>
      <c r="G74" s="19" t="s">
        <v>40</v>
      </c>
      <c r="H74" s="18" t="s">
        <v>37</v>
      </c>
      <c r="I74" s="20" t="s">
        <v>235</v>
      </c>
      <c r="J74" s="20"/>
    </row>
    <row r="75" spans="1:10" ht="15" customHeight="1" x14ac:dyDescent="0.35">
      <c r="A75" s="18">
        <v>67</v>
      </c>
      <c r="B75" s="22" t="s">
        <v>3</v>
      </c>
      <c r="C75" s="19" t="s">
        <v>382</v>
      </c>
      <c r="D75" s="19" t="s">
        <v>34</v>
      </c>
      <c r="E75" s="20" t="s">
        <v>231</v>
      </c>
      <c r="F75" s="21" t="s">
        <v>236</v>
      </c>
      <c r="G75" s="19" t="s">
        <v>40</v>
      </c>
      <c r="H75" s="18" t="s">
        <v>37</v>
      </c>
      <c r="I75" s="20" t="s">
        <v>237</v>
      </c>
      <c r="J75" s="20"/>
    </row>
    <row r="76" spans="1:10" ht="15" customHeight="1" x14ac:dyDescent="0.35">
      <c r="A76" s="18">
        <v>68</v>
      </c>
      <c r="B76" s="22" t="s">
        <v>3</v>
      </c>
      <c r="C76" s="19" t="s">
        <v>382</v>
      </c>
      <c r="D76" s="19" t="s">
        <v>34</v>
      </c>
      <c r="E76" s="20" t="s">
        <v>231</v>
      </c>
      <c r="F76" s="21" t="s">
        <v>238</v>
      </c>
      <c r="G76" s="19" t="s">
        <v>40</v>
      </c>
      <c r="H76" s="18" t="s">
        <v>37</v>
      </c>
      <c r="I76" s="20" t="s">
        <v>239</v>
      </c>
      <c r="J76" s="20"/>
    </row>
    <row r="77" spans="1:10" ht="34.5" customHeight="1" x14ac:dyDescent="0.35">
      <c r="A77" s="18">
        <v>69</v>
      </c>
      <c r="B77" s="22" t="s">
        <v>3</v>
      </c>
      <c r="C77" s="19" t="s">
        <v>382</v>
      </c>
      <c r="D77" s="19" t="s">
        <v>48</v>
      </c>
      <c r="E77" s="20"/>
      <c r="F77" s="21" t="s">
        <v>383</v>
      </c>
      <c r="G77" s="19" t="s">
        <v>384</v>
      </c>
      <c r="H77" s="18" t="s">
        <v>50</v>
      </c>
      <c r="I77" s="20" t="s">
        <v>385</v>
      </c>
      <c r="J77" s="20"/>
    </row>
    <row r="78" spans="1:10" ht="15" customHeight="1" x14ac:dyDescent="0.35">
      <c r="A78" s="4" t="s">
        <v>386</v>
      </c>
      <c r="B78" s="4"/>
      <c r="C78" s="4"/>
      <c r="D78" s="4"/>
      <c r="E78" s="4"/>
      <c r="F78" s="4"/>
      <c r="G78" s="4"/>
      <c r="H78" s="4"/>
      <c r="I78" s="4"/>
      <c r="J78" s="4"/>
    </row>
    <row r="79" spans="1:10" ht="15" customHeight="1" x14ac:dyDescent="0.35">
      <c r="A79" s="18">
        <v>70</v>
      </c>
      <c r="B79" s="18" t="s">
        <v>5</v>
      </c>
      <c r="C79" s="19" t="s">
        <v>386</v>
      </c>
      <c r="D79" s="19" t="s">
        <v>34</v>
      </c>
      <c r="E79" s="20" t="s">
        <v>368</v>
      </c>
      <c r="F79" s="21" t="s">
        <v>305</v>
      </c>
      <c r="G79" s="19" t="s">
        <v>36</v>
      </c>
      <c r="H79" s="18" t="s">
        <v>37</v>
      </c>
      <c r="I79" s="20" t="s">
        <v>306</v>
      </c>
      <c r="J79" s="20"/>
    </row>
    <row r="80" spans="1:10" ht="15" customHeight="1" x14ac:dyDescent="0.35">
      <c r="A80" s="18">
        <v>71</v>
      </c>
      <c r="B80" s="18" t="s">
        <v>5</v>
      </c>
      <c r="C80" s="19" t="s">
        <v>386</v>
      </c>
      <c r="D80" s="19" t="s">
        <v>34</v>
      </c>
      <c r="E80" s="20" t="s">
        <v>368</v>
      </c>
      <c r="F80" s="21" t="s">
        <v>39</v>
      </c>
      <c r="G80" s="19" t="s">
        <v>40</v>
      </c>
      <c r="H80" s="18" t="s">
        <v>37</v>
      </c>
      <c r="I80" s="20" t="s">
        <v>307</v>
      </c>
      <c r="J80" s="20"/>
    </row>
    <row r="81" spans="1:10" ht="15" customHeight="1" x14ac:dyDescent="0.35">
      <c r="A81" s="18">
        <v>72</v>
      </c>
      <c r="B81" s="18" t="s">
        <v>5</v>
      </c>
      <c r="C81" s="19" t="s">
        <v>386</v>
      </c>
      <c r="D81" s="19" t="s">
        <v>34</v>
      </c>
      <c r="E81" s="20" t="s">
        <v>368</v>
      </c>
      <c r="F81" s="21" t="s">
        <v>42</v>
      </c>
      <c r="G81" s="19" t="s">
        <v>43</v>
      </c>
      <c r="H81" s="18" t="s">
        <v>37</v>
      </c>
      <c r="I81" s="20" t="s">
        <v>308</v>
      </c>
      <c r="J81" s="20"/>
    </row>
    <row r="82" spans="1:10" ht="15" customHeight="1" x14ac:dyDescent="0.35">
      <c r="A82" s="18">
        <v>73</v>
      </c>
      <c r="B82" s="18" t="s">
        <v>5</v>
      </c>
      <c r="C82" s="19" t="s">
        <v>386</v>
      </c>
      <c r="D82" s="19" t="s">
        <v>34</v>
      </c>
      <c r="E82" s="20" t="s">
        <v>368</v>
      </c>
      <c r="F82" s="21" t="s">
        <v>45</v>
      </c>
      <c r="G82" s="19" t="s">
        <v>309</v>
      </c>
      <c r="H82" s="18" t="s">
        <v>46</v>
      </c>
      <c r="I82" s="20" t="s">
        <v>310</v>
      </c>
      <c r="J82" s="20"/>
    </row>
    <row r="83" spans="1:10" ht="15" customHeight="1" x14ac:dyDescent="0.35">
      <c r="A83" s="18">
        <v>74</v>
      </c>
      <c r="B83" s="22" t="s">
        <v>3</v>
      </c>
      <c r="C83" s="19" t="s">
        <v>386</v>
      </c>
      <c r="D83" s="19" t="s">
        <v>34</v>
      </c>
      <c r="E83" s="20" t="s">
        <v>387</v>
      </c>
      <c r="F83" s="21" t="s">
        <v>242</v>
      </c>
      <c r="G83" s="19" t="s">
        <v>36</v>
      </c>
      <c r="H83" s="18" t="s">
        <v>37</v>
      </c>
      <c r="I83" s="20" t="s">
        <v>243</v>
      </c>
      <c r="J83" s="20"/>
    </row>
    <row r="84" spans="1:10" ht="15" customHeight="1" x14ac:dyDescent="0.35">
      <c r="A84" s="18">
        <v>75</v>
      </c>
      <c r="B84" s="22" t="s">
        <v>3</v>
      </c>
      <c r="C84" s="19" t="s">
        <v>386</v>
      </c>
      <c r="D84" s="19" t="s">
        <v>34</v>
      </c>
      <c r="E84" s="20" t="s">
        <v>387</v>
      </c>
      <c r="F84" s="21" t="s">
        <v>244</v>
      </c>
      <c r="G84" s="19" t="s">
        <v>40</v>
      </c>
      <c r="H84" s="18" t="s">
        <v>37</v>
      </c>
      <c r="I84" s="20" t="s">
        <v>245</v>
      </c>
      <c r="J84" s="20"/>
    </row>
    <row r="85" spans="1:10" ht="15" customHeight="1" x14ac:dyDescent="0.35">
      <c r="A85" s="18">
        <v>76</v>
      </c>
      <c r="B85" s="22" t="s">
        <v>3</v>
      </c>
      <c r="C85" s="19" t="s">
        <v>386</v>
      </c>
      <c r="D85" s="19" t="s">
        <v>34</v>
      </c>
      <c r="E85" s="20" t="s">
        <v>387</v>
      </c>
      <c r="F85" s="21" t="s">
        <v>246</v>
      </c>
      <c r="G85" s="19" t="s">
        <v>40</v>
      </c>
      <c r="H85" s="18" t="s">
        <v>37</v>
      </c>
      <c r="I85" s="20" t="s">
        <v>247</v>
      </c>
      <c r="J85" s="20"/>
    </row>
    <row r="86" spans="1:10" ht="15" customHeight="1" x14ac:dyDescent="0.35">
      <c r="A86" s="18">
        <v>77</v>
      </c>
      <c r="B86" s="22" t="s">
        <v>3</v>
      </c>
      <c r="C86" s="19" t="s">
        <v>386</v>
      </c>
      <c r="D86" s="19" t="s">
        <v>34</v>
      </c>
      <c r="E86" s="20" t="s">
        <v>387</v>
      </c>
      <c r="F86" s="21" t="s">
        <v>248</v>
      </c>
      <c r="G86" s="19" t="s">
        <v>40</v>
      </c>
      <c r="H86" s="18" t="s">
        <v>37</v>
      </c>
      <c r="I86" s="20" t="s">
        <v>249</v>
      </c>
      <c r="J86" s="20"/>
    </row>
    <row r="87" spans="1:10" ht="15" customHeight="1" x14ac:dyDescent="0.35">
      <c r="A87" s="4" t="s">
        <v>388</v>
      </c>
      <c r="B87" s="4"/>
      <c r="C87" s="4"/>
      <c r="D87" s="4"/>
      <c r="E87" s="4"/>
      <c r="F87" s="4"/>
      <c r="G87" s="4"/>
      <c r="H87" s="4"/>
      <c r="I87" s="4"/>
      <c r="J87" s="4"/>
    </row>
    <row r="88" spans="1:10" ht="15" customHeight="1" x14ac:dyDescent="0.35">
      <c r="A88" s="18">
        <v>78</v>
      </c>
      <c r="B88" s="18" t="s">
        <v>5</v>
      </c>
      <c r="C88" s="19" t="s">
        <v>388</v>
      </c>
      <c r="D88" s="19" t="s">
        <v>34</v>
      </c>
      <c r="E88" s="20" t="s">
        <v>368</v>
      </c>
      <c r="F88" s="21" t="s">
        <v>305</v>
      </c>
      <c r="G88" s="19" t="s">
        <v>36</v>
      </c>
      <c r="H88" s="18" t="s">
        <v>37</v>
      </c>
      <c r="I88" s="20" t="s">
        <v>306</v>
      </c>
      <c r="J88" s="20"/>
    </row>
    <row r="89" spans="1:10" ht="15" customHeight="1" x14ac:dyDescent="0.35">
      <c r="A89" s="18">
        <v>79</v>
      </c>
      <c r="B89" s="18" t="s">
        <v>5</v>
      </c>
      <c r="C89" s="19" t="s">
        <v>388</v>
      </c>
      <c r="D89" s="19" t="s">
        <v>34</v>
      </c>
      <c r="E89" s="20" t="s">
        <v>368</v>
      </c>
      <c r="F89" s="21" t="s">
        <v>39</v>
      </c>
      <c r="G89" s="19" t="s">
        <v>40</v>
      </c>
      <c r="H89" s="18" t="s">
        <v>37</v>
      </c>
      <c r="I89" s="20" t="s">
        <v>307</v>
      </c>
      <c r="J89" s="20"/>
    </row>
    <row r="90" spans="1:10" ht="15" customHeight="1" x14ac:dyDescent="0.35">
      <c r="A90" s="18">
        <v>80</v>
      </c>
      <c r="B90" s="18" t="s">
        <v>5</v>
      </c>
      <c r="C90" s="19" t="s">
        <v>388</v>
      </c>
      <c r="D90" s="19" t="s">
        <v>34</v>
      </c>
      <c r="E90" s="20" t="s">
        <v>368</v>
      </c>
      <c r="F90" s="21" t="s">
        <v>42</v>
      </c>
      <c r="G90" s="19" t="s">
        <v>43</v>
      </c>
      <c r="H90" s="18" t="s">
        <v>37</v>
      </c>
      <c r="I90" s="20" t="s">
        <v>308</v>
      </c>
      <c r="J90" s="20"/>
    </row>
    <row r="91" spans="1:10" ht="15" customHeight="1" x14ac:dyDescent="0.35">
      <c r="A91" s="18">
        <v>81</v>
      </c>
      <c r="B91" s="18" t="s">
        <v>5</v>
      </c>
      <c r="C91" s="19" t="s">
        <v>388</v>
      </c>
      <c r="D91" s="19" t="s">
        <v>34</v>
      </c>
      <c r="E91" s="20" t="s">
        <v>368</v>
      </c>
      <c r="F91" s="21" t="s">
        <v>45</v>
      </c>
      <c r="G91" s="19" t="s">
        <v>309</v>
      </c>
      <c r="H91" s="18" t="s">
        <v>46</v>
      </c>
      <c r="I91" s="20" t="s">
        <v>310</v>
      </c>
      <c r="J91" s="20"/>
    </row>
    <row r="92" spans="1:10" ht="23.25" customHeight="1" x14ac:dyDescent="0.35">
      <c r="A92" s="18">
        <v>82</v>
      </c>
      <c r="B92" s="22" t="s">
        <v>3</v>
      </c>
      <c r="C92" s="19" t="s">
        <v>388</v>
      </c>
      <c r="D92" s="19" t="s">
        <v>34</v>
      </c>
      <c r="E92" s="20" t="s">
        <v>389</v>
      </c>
      <c r="F92" s="21" t="s">
        <v>390</v>
      </c>
      <c r="G92" s="19" t="s">
        <v>56</v>
      </c>
      <c r="H92" s="18" t="s">
        <v>57</v>
      </c>
      <c r="I92" s="20" t="s">
        <v>391</v>
      </c>
      <c r="J92" s="20"/>
    </row>
    <row r="93" spans="1:10" ht="15" customHeight="1" x14ac:dyDescent="0.35">
      <c r="A93" s="18">
        <v>83</v>
      </c>
      <c r="B93" s="22" t="s">
        <v>3</v>
      </c>
      <c r="C93" s="19" t="s">
        <v>388</v>
      </c>
      <c r="D93" s="19" t="s">
        <v>48</v>
      </c>
      <c r="E93" s="20" t="s">
        <v>392</v>
      </c>
      <c r="F93" s="21" t="s">
        <v>232</v>
      </c>
      <c r="G93" s="19" t="s">
        <v>36</v>
      </c>
      <c r="H93" s="18" t="s">
        <v>37</v>
      </c>
      <c r="I93" s="20" t="s">
        <v>233</v>
      </c>
      <c r="J93" s="20"/>
    </row>
    <row r="94" spans="1:10" ht="15" customHeight="1" x14ac:dyDescent="0.35">
      <c r="A94" s="18">
        <v>84</v>
      </c>
      <c r="B94" s="22" t="s">
        <v>3</v>
      </c>
      <c r="C94" s="19" t="s">
        <v>388</v>
      </c>
      <c r="D94" s="19" t="s">
        <v>48</v>
      </c>
      <c r="E94" s="20" t="s">
        <v>392</v>
      </c>
      <c r="F94" s="21" t="s">
        <v>234</v>
      </c>
      <c r="G94" s="19" t="s">
        <v>40</v>
      </c>
      <c r="H94" s="18" t="s">
        <v>37</v>
      </c>
      <c r="I94" s="20" t="s">
        <v>235</v>
      </c>
      <c r="J94" s="20"/>
    </row>
    <row r="95" spans="1:10" ht="15" customHeight="1" x14ac:dyDescent="0.35">
      <c r="A95" s="18">
        <v>85</v>
      </c>
      <c r="B95" s="22" t="s">
        <v>3</v>
      </c>
      <c r="C95" s="19" t="s">
        <v>388</v>
      </c>
      <c r="D95" s="19" t="s">
        <v>48</v>
      </c>
      <c r="E95" s="20" t="s">
        <v>392</v>
      </c>
      <c r="F95" s="21" t="s">
        <v>236</v>
      </c>
      <c r="G95" s="19" t="s">
        <v>40</v>
      </c>
      <c r="H95" s="18" t="s">
        <v>37</v>
      </c>
      <c r="I95" s="20" t="s">
        <v>237</v>
      </c>
      <c r="J95" s="20"/>
    </row>
    <row r="96" spans="1:10" ht="15" customHeight="1" x14ac:dyDescent="0.35">
      <c r="A96" s="18">
        <v>86</v>
      </c>
      <c r="B96" s="22" t="s">
        <v>3</v>
      </c>
      <c r="C96" s="19" t="s">
        <v>388</v>
      </c>
      <c r="D96" s="19" t="s">
        <v>48</v>
      </c>
      <c r="E96" s="20" t="s">
        <v>392</v>
      </c>
      <c r="F96" s="21" t="s">
        <v>238</v>
      </c>
      <c r="G96" s="19" t="s">
        <v>40</v>
      </c>
      <c r="H96" s="18" t="s">
        <v>37</v>
      </c>
      <c r="I96" s="20" t="s">
        <v>239</v>
      </c>
      <c r="J96" s="20"/>
    </row>
    <row r="97" spans="1:10" ht="15" customHeight="1" x14ac:dyDescent="0.35">
      <c r="A97" s="18">
        <v>87</v>
      </c>
      <c r="B97" s="22" t="s">
        <v>3</v>
      </c>
      <c r="C97" s="19" t="s">
        <v>388</v>
      </c>
      <c r="D97" s="19" t="s">
        <v>48</v>
      </c>
      <c r="E97" s="20" t="s">
        <v>393</v>
      </c>
      <c r="F97" s="21" t="s">
        <v>242</v>
      </c>
      <c r="G97" s="19" t="s">
        <v>36</v>
      </c>
      <c r="H97" s="18" t="s">
        <v>37</v>
      </c>
      <c r="I97" s="20" t="s">
        <v>243</v>
      </c>
      <c r="J97" s="20"/>
    </row>
    <row r="98" spans="1:10" ht="15" customHeight="1" x14ac:dyDescent="0.35">
      <c r="A98" s="18">
        <v>88</v>
      </c>
      <c r="B98" s="22" t="s">
        <v>3</v>
      </c>
      <c r="C98" s="19" t="s">
        <v>388</v>
      </c>
      <c r="D98" s="19" t="s">
        <v>48</v>
      </c>
      <c r="E98" s="20" t="s">
        <v>393</v>
      </c>
      <c r="F98" s="21" t="s">
        <v>244</v>
      </c>
      <c r="G98" s="19" t="s">
        <v>40</v>
      </c>
      <c r="H98" s="18" t="s">
        <v>37</v>
      </c>
      <c r="I98" s="20" t="s">
        <v>245</v>
      </c>
      <c r="J98" s="20"/>
    </row>
    <row r="99" spans="1:10" ht="15" customHeight="1" x14ac:dyDescent="0.35">
      <c r="A99" s="18">
        <v>89</v>
      </c>
      <c r="B99" s="22" t="s">
        <v>3</v>
      </c>
      <c r="C99" s="19" t="s">
        <v>388</v>
      </c>
      <c r="D99" s="19" t="s">
        <v>48</v>
      </c>
      <c r="E99" s="20" t="s">
        <v>393</v>
      </c>
      <c r="F99" s="21" t="s">
        <v>246</v>
      </c>
      <c r="G99" s="19" t="s">
        <v>40</v>
      </c>
      <c r="H99" s="18" t="s">
        <v>37</v>
      </c>
      <c r="I99" s="20" t="s">
        <v>247</v>
      </c>
      <c r="J99" s="20"/>
    </row>
    <row r="100" spans="1:10" ht="15" customHeight="1" x14ac:dyDescent="0.35">
      <c r="A100" s="18">
        <v>90</v>
      </c>
      <c r="B100" s="22" t="s">
        <v>3</v>
      </c>
      <c r="C100" s="19" t="s">
        <v>388</v>
      </c>
      <c r="D100" s="19" t="s">
        <v>48</v>
      </c>
      <c r="E100" s="20" t="s">
        <v>393</v>
      </c>
      <c r="F100" s="21" t="s">
        <v>248</v>
      </c>
      <c r="G100" s="19" t="s">
        <v>40</v>
      </c>
      <c r="H100" s="18" t="s">
        <v>37</v>
      </c>
      <c r="I100" s="20" t="s">
        <v>249</v>
      </c>
      <c r="J100" s="20"/>
    </row>
    <row r="101" spans="1:10" ht="102" customHeight="1" x14ac:dyDescent="0.35">
      <c r="A101" s="18">
        <v>91</v>
      </c>
      <c r="B101" s="22" t="s">
        <v>3</v>
      </c>
      <c r="C101" s="19" t="s">
        <v>388</v>
      </c>
      <c r="D101" s="19" t="s">
        <v>48</v>
      </c>
      <c r="E101" s="20"/>
      <c r="F101" s="21" t="s">
        <v>324</v>
      </c>
      <c r="G101" s="19" t="s">
        <v>394</v>
      </c>
      <c r="H101" s="18" t="s">
        <v>50</v>
      </c>
      <c r="I101" s="20" t="s">
        <v>395</v>
      </c>
      <c r="J101" s="20"/>
    </row>
    <row r="102" spans="1:10" ht="34.5" customHeight="1" x14ac:dyDescent="0.35">
      <c r="A102" s="18">
        <v>92</v>
      </c>
      <c r="B102" s="22" t="s">
        <v>3</v>
      </c>
      <c r="C102" s="19" t="s">
        <v>388</v>
      </c>
      <c r="D102" s="19" t="s">
        <v>48</v>
      </c>
      <c r="E102" s="20"/>
      <c r="F102" s="21" t="s">
        <v>396</v>
      </c>
      <c r="G102" s="19" t="s">
        <v>397</v>
      </c>
      <c r="H102" s="18" t="s">
        <v>57</v>
      </c>
      <c r="I102" s="20" t="s">
        <v>398</v>
      </c>
      <c r="J102" s="20"/>
    </row>
    <row r="103" spans="1:10" ht="15" customHeight="1" x14ac:dyDescent="0.35">
      <c r="A103" s="18">
        <v>93</v>
      </c>
      <c r="B103" s="22" t="s">
        <v>3</v>
      </c>
      <c r="C103" s="19" t="s">
        <v>388</v>
      </c>
      <c r="D103" s="19" t="s">
        <v>48</v>
      </c>
      <c r="E103" s="20" t="s">
        <v>70</v>
      </c>
      <c r="F103" s="21" t="s">
        <v>71</v>
      </c>
      <c r="G103" s="19" t="s">
        <v>36</v>
      </c>
      <c r="H103" s="18" t="s">
        <v>37</v>
      </c>
      <c r="I103" s="20" t="s">
        <v>72</v>
      </c>
      <c r="J103" s="20"/>
    </row>
    <row r="104" spans="1:10" ht="15" customHeight="1" x14ac:dyDescent="0.35">
      <c r="A104" s="18">
        <v>94</v>
      </c>
      <c r="B104" s="22" t="s">
        <v>3</v>
      </c>
      <c r="C104" s="19" t="s">
        <v>388</v>
      </c>
      <c r="D104" s="19" t="s">
        <v>48</v>
      </c>
      <c r="E104" s="20" t="s">
        <v>70</v>
      </c>
      <c r="F104" s="21" t="s">
        <v>73</v>
      </c>
      <c r="G104" s="19" t="s">
        <v>40</v>
      </c>
      <c r="H104" s="18" t="s">
        <v>37</v>
      </c>
      <c r="I104" s="20" t="s">
        <v>74</v>
      </c>
      <c r="J104" s="20"/>
    </row>
    <row r="105" spans="1:10" ht="15" customHeight="1" x14ac:dyDescent="0.35">
      <c r="A105" s="18">
        <v>95</v>
      </c>
      <c r="B105" s="22" t="s">
        <v>3</v>
      </c>
      <c r="C105" s="19" t="s">
        <v>388</v>
      </c>
      <c r="D105" s="19" t="s">
        <v>48</v>
      </c>
      <c r="E105" s="20" t="s">
        <v>70</v>
      </c>
      <c r="F105" s="21" t="s">
        <v>75</v>
      </c>
      <c r="G105" s="19" t="s">
        <v>40</v>
      </c>
      <c r="H105" s="18" t="s">
        <v>37</v>
      </c>
      <c r="I105" s="20" t="s">
        <v>76</v>
      </c>
      <c r="J105" s="20"/>
    </row>
    <row r="106" spans="1:10" ht="15" customHeight="1" x14ac:dyDescent="0.35">
      <c r="A106" s="18">
        <v>96</v>
      </c>
      <c r="B106" s="22" t="s">
        <v>3</v>
      </c>
      <c r="C106" s="19" t="s">
        <v>388</v>
      </c>
      <c r="D106" s="19" t="s">
        <v>48</v>
      </c>
      <c r="E106" s="20" t="s">
        <v>70</v>
      </c>
      <c r="F106" s="21" t="s">
        <v>77</v>
      </c>
      <c r="G106" s="19" t="s">
        <v>40</v>
      </c>
      <c r="H106" s="18" t="s">
        <v>37</v>
      </c>
      <c r="I106" s="20" t="s">
        <v>78</v>
      </c>
      <c r="J106" s="20"/>
    </row>
    <row r="107" spans="1:10" ht="23.25" customHeight="1" x14ac:dyDescent="0.35">
      <c r="A107" s="18">
        <v>97</v>
      </c>
      <c r="B107" s="22" t="s">
        <v>3</v>
      </c>
      <c r="C107" s="19" t="s">
        <v>388</v>
      </c>
      <c r="D107" s="19" t="s">
        <v>48</v>
      </c>
      <c r="E107" s="20" t="s">
        <v>399</v>
      </c>
      <c r="F107" s="21" t="s">
        <v>400</v>
      </c>
      <c r="G107" s="19" t="s">
        <v>36</v>
      </c>
      <c r="H107" s="18" t="s">
        <v>37</v>
      </c>
      <c r="I107" s="20" t="s">
        <v>401</v>
      </c>
      <c r="J107" s="20"/>
    </row>
    <row r="108" spans="1:10" ht="23.25" customHeight="1" x14ac:dyDescent="0.35">
      <c r="A108" s="18">
        <v>98</v>
      </c>
      <c r="B108" s="22" t="s">
        <v>3</v>
      </c>
      <c r="C108" s="19" t="s">
        <v>388</v>
      </c>
      <c r="D108" s="19" t="s">
        <v>48</v>
      </c>
      <c r="E108" s="20" t="s">
        <v>399</v>
      </c>
      <c r="F108" s="21" t="s">
        <v>402</v>
      </c>
      <c r="G108" s="19" t="s">
        <v>40</v>
      </c>
      <c r="H108" s="18" t="s">
        <v>37</v>
      </c>
      <c r="I108" s="20" t="s">
        <v>403</v>
      </c>
      <c r="J108" s="20"/>
    </row>
    <row r="109" spans="1:10" ht="23.25" customHeight="1" x14ac:dyDescent="0.35">
      <c r="A109" s="18">
        <v>99</v>
      </c>
      <c r="B109" s="22" t="s">
        <v>3</v>
      </c>
      <c r="C109" s="19" t="s">
        <v>388</v>
      </c>
      <c r="D109" s="19" t="s">
        <v>48</v>
      </c>
      <c r="E109" s="20" t="s">
        <v>399</v>
      </c>
      <c r="F109" s="21" t="s">
        <v>404</v>
      </c>
      <c r="G109" s="19" t="s">
        <v>40</v>
      </c>
      <c r="H109" s="18" t="s">
        <v>37</v>
      </c>
      <c r="I109" s="20" t="s">
        <v>405</v>
      </c>
      <c r="J109" s="20"/>
    </row>
    <row r="110" spans="1:10" ht="23.25" customHeight="1" x14ac:dyDescent="0.35">
      <c r="A110" s="18">
        <v>100</v>
      </c>
      <c r="B110" s="22" t="s">
        <v>3</v>
      </c>
      <c r="C110" s="19" t="s">
        <v>388</v>
      </c>
      <c r="D110" s="19" t="s">
        <v>48</v>
      </c>
      <c r="E110" s="20" t="s">
        <v>399</v>
      </c>
      <c r="F110" s="21" t="s">
        <v>406</v>
      </c>
      <c r="G110" s="19" t="s">
        <v>40</v>
      </c>
      <c r="H110" s="18" t="s">
        <v>37</v>
      </c>
      <c r="I110" s="20" t="s">
        <v>407</v>
      </c>
      <c r="J110" s="20"/>
    </row>
    <row r="111" spans="1:10" ht="23.25" customHeight="1" x14ac:dyDescent="0.35">
      <c r="A111" s="18">
        <v>101</v>
      </c>
      <c r="B111" s="22" t="s">
        <v>3</v>
      </c>
      <c r="C111" s="19" t="s">
        <v>388</v>
      </c>
      <c r="D111" s="19" t="s">
        <v>48</v>
      </c>
      <c r="E111" s="20"/>
      <c r="F111" s="21" t="s">
        <v>408</v>
      </c>
      <c r="G111" s="19" t="s">
        <v>409</v>
      </c>
      <c r="H111" s="18" t="s">
        <v>57</v>
      </c>
      <c r="I111" s="20" t="s">
        <v>410</v>
      </c>
      <c r="J111" s="20"/>
    </row>
    <row r="112" spans="1:10" ht="15" customHeight="1" x14ac:dyDescent="0.35">
      <c r="A112" s="18">
        <v>102</v>
      </c>
      <c r="B112" s="22" t="s">
        <v>3</v>
      </c>
      <c r="C112" s="19" t="s">
        <v>388</v>
      </c>
      <c r="D112" s="19" t="s">
        <v>48</v>
      </c>
      <c r="E112" s="20"/>
      <c r="F112" s="21" t="s">
        <v>270</v>
      </c>
      <c r="G112" s="19" t="s">
        <v>271</v>
      </c>
      <c r="H112" s="18" t="s">
        <v>50</v>
      </c>
      <c r="I112" s="20" t="s">
        <v>411</v>
      </c>
      <c r="J112" s="20"/>
    </row>
    <row r="113" spans="1:10" ht="23.25" customHeight="1" x14ac:dyDescent="0.35">
      <c r="A113" s="18">
        <v>103</v>
      </c>
      <c r="B113" s="22" t="s">
        <v>3</v>
      </c>
      <c r="C113" s="19" t="s">
        <v>388</v>
      </c>
      <c r="D113" s="19" t="s">
        <v>48</v>
      </c>
      <c r="E113" s="20"/>
      <c r="F113" s="21" t="s">
        <v>412</v>
      </c>
      <c r="G113" s="19" t="s">
        <v>384</v>
      </c>
      <c r="H113" s="18" t="s">
        <v>50</v>
      </c>
      <c r="I113" s="20" t="s">
        <v>413</v>
      </c>
      <c r="J113" s="20"/>
    </row>
    <row r="114" spans="1:10" ht="15" customHeight="1" x14ac:dyDescent="0.35">
      <c r="A114" s="18">
        <v>104</v>
      </c>
      <c r="B114" s="22" t="s">
        <v>3</v>
      </c>
      <c r="C114" s="19" t="s">
        <v>388</v>
      </c>
      <c r="D114" s="19" t="s">
        <v>48</v>
      </c>
      <c r="E114" s="20"/>
      <c r="F114" s="21" t="s">
        <v>414</v>
      </c>
      <c r="G114" s="19" t="s">
        <v>415</v>
      </c>
      <c r="H114" s="18" t="s">
        <v>50</v>
      </c>
      <c r="I114" s="20" t="s">
        <v>416</v>
      </c>
      <c r="J114" s="20"/>
    </row>
    <row r="115" spans="1:10" ht="15" customHeight="1" x14ac:dyDescent="0.35">
      <c r="A115" s="4" t="s">
        <v>417</v>
      </c>
      <c r="B115" s="4"/>
      <c r="C115" s="4"/>
      <c r="D115" s="4"/>
      <c r="E115" s="4"/>
      <c r="F115" s="4"/>
      <c r="G115" s="4"/>
      <c r="H115" s="4"/>
      <c r="I115" s="4"/>
      <c r="J115" s="4"/>
    </row>
    <row r="116" spans="1:10" ht="15" customHeight="1" x14ac:dyDescent="0.35">
      <c r="A116" s="18">
        <v>105</v>
      </c>
      <c r="B116" s="18" t="s">
        <v>5</v>
      </c>
      <c r="C116" s="19" t="s">
        <v>417</v>
      </c>
      <c r="D116" s="19" t="s">
        <v>34</v>
      </c>
      <c r="E116" s="20" t="s">
        <v>368</v>
      </c>
      <c r="F116" s="21" t="s">
        <v>305</v>
      </c>
      <c r="G116" s="19" t="s">
        <v>36</v>
      </c>
      <c r="H116" s="18" t="s">
        <v>37</v>
      </c>
      <c r="I116" s="20" t="s">
        <v>306</v>
      </c>
      <c r="J116" s="20"/>
    </row>
    <row r="117" spans="1:10" ht="15" customHeight="1" x14ac:dyDescent="0.35">
      <c r="A117" s="18">
        <v>106</v>
      </c>
      <c r="B117" s="18" t="s">
        <v>5</v>
      </c>
      <c r="C117" s="19" t="s">
        <v>417</v>
      </c>
      <c r="D117" s="19" t="s">
        <v>34</v>
      </c>
      <c r="E117" s="20" t="s">
        <v>368</v>
      </c>
      <c r="F117" s="21" t="s">
        <v>39</v>
      </c>
      <c r="G117" s="19" t="s">
        <v>40</v>
      </c>
      <c r="H117" s="18" t="s">
        <v>37</v>
      </c>
      <c r="I117" s="20" t="s">
        <v>307</v>
      </c>
      <c r="J117" s="20"/>
    </row>
    <row r="118" spans="1:10" ht="15" customHeight="1" x14ac:dyDescent="0.35">
      <c r="A118" s="18">
        <v>107</v>
      </c>
      <c r="B118" s="18" t="s">
        <v>5</v>
      </c>
      <c r="C118" s="19" t="s">
        <v>417</v>
      </c>
      <c r="D118" s="19" t="s">
        <v>34</v>
      </c>
      <c r="E118" s="20" t="s">
        <v>368</v>
      </c>
      <c r="F118" s="21" t="s">
        <v>42</v>
      </c>
      <c r="G118" s="19" t="s">
        <v>43</v>
      </c>
      <c r="H118" s="18" t="s">
        <v>37</v>
      </c>
      <c r="I118" s="20" t="s">
        <v>308</v>
      </c>
      <c r="J118" s="20"/>
    </row>
    <row r="119" spans="1:10" ht="15" customHeight="1" x14ac:dyDescent="0.35">
      <c r="A119" s="18">
        <v>108</v>
      </c>
      <c r="B119" s="18" t="s">
        <v>5</v>
      </c>
      <c r="C119" s="19" t="s">
        <v>417</v>
      </c>
      <c r="D119" s="19" t="s">
        <v>34</v>
      </c>
      <c r="E119" s="20" t="s">
        <v>368</v>
      </c>
      <c r="F119" s="21" t="s">
        <v>45</v>
      </c>
      <c r="G119" s="19" t="s">
        <v>309</v>
      </c>
      <c r="H119" s="18" t="s">
        <v>46</v>
      </c>
      <c r="I119" s="20" t="s">
        <v>310</v>
      </c>
      <c r="J119" s="20"/>
    </row>
    <row r="120" spans="1:10" ht="15" customHeight="1" x14ac:dyDescent="0.35">
      <c r="A120" s="18">
        <v>109</v>
      </c>
      <c r="B120" s="22" t="s">
        <v>3</v>
      </c>
      <c r="C120" s="19" t="s">
        <v>417</v>
      </c>
      <c r="D120" s="19" t="s">
        <v>48</v>
      </c>
      <c r="E120" s="20"/>
      <c r="F120" s="21" t="s">
        <v>45</v>
      </c>
      <c r="G120" s="19" t="s">
        <v>271</v>
      </c>
      <c r="H120" s="18" t="s">
        <v>57</v>
      </c>
      <c r="I120" s="20" t="s">
        <v>418</v>
      </c>
      <c r="J120" s="20"/>
    </row>
    <row r="121" spans="1:10" ht="15" customHeight="1" x14ac:dyDescent="0.35">
      <c r="A121" s="18">
        <v>110</v>
      </c>
      <c r="B121" s="22" t="s">
        <v>3</v>
      </c>
      <c r="C121" s="19" t="s">
        <v>417</v>
      </c>
      <c r="D121" s="19" t="s">
        <v>48</v>
      </c>
      <c r="E121" s="20"/>
      <c r="F121" s="21" t="s">
        <v>419</v>
      </c>
      <c r="G121" s="19" t="s">
        <v>271</v>
      </c>
      <c r="H121" s="18" t="s">
        <v>57</v>
      </c>
      <c r="I121" s="20" t="s">
        <v>420</v>
      </c>
      <c r="J121" s="20"/>
    </row>
    <row r="122" spans="1:10" ht="15" customHeight="1" x14ac:dyDescent="0.35">
      <c r="A122" s="18">
        <v>111</v>
      </c>
      <c r="B122" s="18" t="s">
        <v>7</v>
      </c>
      <c r="C122" s="19" t="s">
        <v>417</v>
      </c>
      <c r="D122" s="19" t="s">
        <v>48</v>
      </c>
      <c r="E122" s="20"/>
      <c r="F122" s="21" t="s">
        <v>421</v>
      </c>
      <c r="G122" s="19" t="s">
        <v>422</v>
      </c>
      <c r="H122" s="18" t="s">
        <v>50</v>
      </c>
      <c r="I122" s="20" t="s">
        <v>423</v>
      </c>
      <c r="J122" s="20"/>
    </row>
    <row r="123" spans="1:10" ht="15" customHeight="1" x14ac:dyDescent="0.35">
      <c r="A123" s="18">
        <v>112</v>
      </c>
      <c r="B123" s="18" t="s">
        <v>7</v>
      </c>
      <c r="C123" s="19" t="s">
        <v>417</v>
      </c>
      <c r="D123" s="19" t="s">
        <v>48</v>
      </c>
      <c r="E123" s="20"/>
      <c r="F123" s="21" t="s">
        <v>424</v>
      </c>
      <c r="G123" s="19" t="s">
        <v>422</v>
      </c>
      <c r="H123" s="18" t="s">
        <v>50</v>
      </c>
      <c r="I123" s="20" t="s">
        <v>425</v>
      </c>
      <c r="J123" s="20"/>
    </row>
  </sheetData>
  <autoFilter ref="A4:J123" xr:uid="{00000000-0009-0000-0000-000002000000}"/>
  <mergeCells count="7">
    <mergeCell ref="A87:J87"/>
    <mergeCell ref="A115:J115"/>
    <mergeCell ref="A5:J5"/>
    <mergeCell ref="A44:J44"/>
    <mergeCell ref="A58:J58"/>
    <mergeCell ref="A68:J68"/>
    <mergeCell ref="A78:J78"/>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9"/>
  <sheetViews>
    <sheetView zoomScaleNormal="100" workbookViewId="0">
      <pane ySplit="4" topLeftCell="A5" activePane="bottomLeft" state="frozen"/>
      <selection pane="bottomLeft"/>
    </sheetView>
  </sheetViews>
  <sheetFormatPr baseColWidth="10" defaultColWidth="8.6328125" defaultRowHeight="14.5" x14ac:dyDescent="0.35"/>
  <cols>
    <col min="1" max="1" width="5" customWidth="1"/>
    <col min="2" max="2" width="11" customWidth="1"/>
    <col min="3" max="3" width="30" customWidth="1"/>
    <col min="4" max="4" width="16" customWidth="1"/>
    <col min="5" max="5" width="34" customWidth="1"/>
    <col min="6" max="6" width="27" customWidth="1"/>
    <col min="7" max="7" width="26" customWidth="1"/>
    <col min="8" max="8" width="6" customWidth="1"/>
    <col min="9" max="9" width="70" customWidth="1"/>
    <col min="10" max="10" width="46" customWidth="1"/>
  </cols>
  <sheetData>
    <row r="1" spans="1:10" ht="15.75" customHeight="1" x14ac:dyDescent="0.35">
      <c r="A1" s="16" t="s">
        <v>426</v>
      </c>
    </row>
    <row r="2" spans="1:10" ht="15" customHeight="1" x14ac:dyDescent="0.35">
      <c r="A2" s="15" t="s">
        <v>427</v>
      </c>
    </row>
    <row r="4" spans="1:10" ht="15" customHeight="1" x14ac:dyDescent="0.35">
      <c r="A4" s="17" t="s">
        <v>23</v>
      </c>
      <c r="B4" s="17" t="s">
        <v>24</v>
      </c>
      <c r="C4" s="17" t="s">
        <v>25</v>
      </c>
      <c r="D4" s="17" t="s">
        <v>26</v>
      </c>
      <c r="E4" s="17" t="s">
        <v>27</v>
      </c>
      <c r="F4" s="17" t="s">
        <v>28</v>
      </c>
      <c r="G4" s="17" t="s">
        <v>29</v>
      </c>
      <c r="H4" s="17" t="s">
        <v>30</v>
      </c>
      <c r="I4" s="17" t="s">
        <v>31</v>
      </c>
      <c r="J4" s="17" t="s">
        <v>32</v>
      </c>
    </row>
    <row r="5" spans="1:10" ht="15" customHeight="1" x14ac:dyDescent="0.35">
      <c r="A5" s="4" t="s">
        <v>428</v>
      </c>
      <c r="B5" s="4"/>
      <c r="C5" s="4"/>
      <c r="D5" s="4"/>
      <c r="E5" s="4"/>
      <c r="F5" s="4"/>
      <c r="G5" s="4"/>
      <c r="H5" s="4"/>
      <c r="I5" s="4"/>
      <c r="J5" s="4"/>
    </row>
    <row r="6" spans="1:10" ht="15" customHeight="1" x14ac:dyDescent="0.35">
      <c r="A6" s="18">
        <v>1</v>
      </c>
      <c r="B6" s="18" t="s">
        <v>5</v>
      </c>
      <c r="C6" s="19" t="s">
        <v>428</v>
      </c>
      <c r="D6" s="19" t="s">
        <v>34</v>
      </c>
      <c r="E6" s="20"/>
      <c r="F6" s="21" t="s">
        <v>429</v>
      </c>
      <c r="G6" s="19" t="s">
        <v>36</v>
      </c>
      <c r="H6" s="18" t="s">
        <v>37</v>
      </c>
      <c r="I6" s="20" t="s">
        <v>430</v>
      </c>
      <c r="J6" s="20"/>
    </row>
    <row r="7" spans="1:10" ht="15" customHeight="1" x14ac:dyDescent="0.35">
      <c r="A7" s="18">
        <v>2</v>
      </c>
      <c r="B7" s="18" t="s">
        <v>5</v>
      </c>
      <c r="C7" s="19" t="s">
        <v>428</v>
      </c>
      <c r="D7" s="19" t="s">
        <v>34</v>
      </c>
      <c r="E7" s="20"/>
      <c r="F7" s="21" t="s">
        <v>39</v>
      </c>
      <c r="G7" s="19" t="s">
        <v>40</v>
      </c>
      <c r="H7" s="18" t="s">
        <v>37</v>
      </c>
      <c r="I7" s="20" t="s">
        <v>431</v>
      </c>
      <c r="J7" s="20"/>
    </row>
    <row r="8" spans="1:10" ht="15" customHeight="1" x14ac:dyDescent="0.35">
      <c r="A8" s="18">
        <v>3</v>
      </c>
      <c r="B8" s="18" t="s">
        <v>5</v>
      </c>
      <c r="C8" s="19" t="s">
        <v>428</v>
      </c>
      <c r="D8" s="19" t="s">
        <v>34</v>
      </c>
      <c r="E8" s="20"/>
      <c r="F8" s="21" t="s">
        <v>432</v>
      </c>
      <c r="G8" s="19" t="s">
        <v>40</v>
      </c>
      <c r="H8" s="18" t="s">
        <v>37</v>
      </c>
      <c r="I8" s="20" t="s">
        <v>433</v>
      </c>
      <c r="J8" s="20"/>
    </row>
    <row r="9" spans="1:10" ht="15" customHeight="1" x14ac:dyDescent="0.35">
      <c r="A9" s="18">
        <v>4</v>
      </c>
      <c r="B9" s="18" t="s">
        <v>5</v>
      </c>
      <c r="C9" s="19" t="s">
        <v>428</v>
      </c>
      <c r="D9" s="19" t="s">
        <v>34</v>
      </c>
      <c r="E9" s="20"/>
      <c r="F9" s="21" t="s">
        <v>434</v>
      </c>
      <c r="G9" s="19" t="s">
        <v>40</v>
      </c>
      <c r="H9" s="18" t="s">
        <v>37</v>
      </c>
      <c r="I9" s="20" t="s">
        <v>435</v>
      </c>
      <c r="J9" s="20"/>
    </row>
    <row r="10" spans="1:10" ht="15" customHeight="1" x14ac:dyDescent="0.35">
      <c r="A10" s="18">
        <v>5</v>
      </c>
      <c r="B10" s="22" t="s">
        <v>3</v>
      </c>
      <c r="C10" s="19" t="s">
        <v>428</v>
      </c>
      <c r="D10" s="19" t="s">
        <v>48</v>
      </c>
      <c r="E10" s="20"/>
      <c r="F10" s="21" t="s">
        <v>436</v>
      </c>
      <c r="G10" s="19" t="s">
        <v>309</v>
      </c>
      <c r="H10" s="18" t="s">
        <v>57</v>
      </c>
      <c r="I10" s="20" t="s">
        <v>437</v>
      </c>
      <c r="J10" s="20"/>
    </row>
    <row r="11" spans="1:10" ht="15" customHeight="1" x14ac:dyDescent="0.35">
      <c r="A11" s="18">
        <v>6</v>
      </c>
      <c r="B11" s="18" t="s">
        <v>7</v>
      </c>
      <c r="C11" s="19" t="s">
        <v>428</v>
      </c>
      <c r="D11" s="19" t="s">
        <v>48</v>
      </c>
      <c r="E11" s="20"/>
      <c r="F11" s="21" t="s">
        <v>438</v>
      </c>
      <c r="G11" s="19" t="s">
        <v>40</v>
      </c>
      <c r="H11" s="18" t="s">
        <v>50</v>
      </c>
      <c r="I11" s="20" t="s">
        <v>439</v>
      </c>
      <c r="J11" s="20"/>
    </row>
    <row r="12" spans="1:10" ht="15" customHeight="1" x14ac:dyDescent="0.35">
      <c r="A12" s="18">
        <v>7</v>
      </c>
      <c r="B12" s="18" t="s">
        <v>5</v>
      </c>
      <c r="C12" s="19" t="s">
        <v>428</v>
      </c>
      <c r="D12" s="19" t="s">
        <v>48</v>
      </c>
      <c r="E12" s="20" t="s">
        <v>440</v>
      </c>
      <c r="F12" s="21" t="s">
        <v>441</v>
      </c>
      <c r="G12" s="19" t="s">
        <v>36</v>
      </c>
      <c r="H12" s="18" t="s">
        <v>37</v>
      </c>
      <c r="I12" s="20" t="s">
        <v>442</v>
      </c>
      <c r="J12" s="20"/>
    </row>
    <row r="13" spans="1:10" ht="15" customHeight="1" x14ac:dyDescent="0.35">
      <c r="A13" s="18">
        <v>8</v>
      </c>
      <c r="B13" s="18" t="s">
        <v>5</v>
      </c>
      <c r="C13" s="19" t="s">
        <v>428</v>
      </c>
      <c r="D13" s="19" t="s">
        <v>48</v>
      </c>
      <c r="E13" s="20" t="s">
        <v>440</v>
      </c>
      <c r="F13" s="21" t="s">
        <v>443</v>
      </c>
      <c r="G13" s="19" t="s">
        <v>40</v>
      </c>
      <c r="H13" s="18" t="s">
        <v>37</v>
      </c>
      <c r="I13" s="20" t="s">
        <v>307</v>
      </c>
      <c r="J13" s="20"/>
    </row>
    <row r="14" spans="1:10" ht="15" customHeight="1" x14ac:dyDescent="0.35">
      <c r="A14" s="18">
        <v>9</v>
      </c>
      <c r="B14" s="18" t="s">
        <v>5</v>
      </c>
      <c r="C14" s="19" t="s">
        <v>428</v>
      </c>
      <c r="D14" s="19" t="s">
        <v>48</v>
      </c>
      <c r="E14" s="20" t="s">
        <v>440</v>
      </c>
      <c r="F14" s="21" t="s">
        <v>444</v>
      </c>
      <c r="G14" s="19" t="s">
        <v>40</v>
      </c>
      <c r="H14" s="18" t="s">
        <v>37</v>
      </c>
      <c r="I14" s="20" t="s">
        <v>445</v>
      </c>
      <c r="J14" s="20"/>
    </row>
    <row r="15" spans="1:10" ht="15" customHeight="1" x14ac:dyDescent="0.35">
      <c r="A15" s="18">
        <v>10</v>
      </c>
      <c r="B15" s="18" t="s">
        <v>5</v>
      </c>
      <c r="C15" s="19" t="s">
        <v>428</v>
      </c>
      <c r="D15" s="19" t="s">
        <v>48</v>
      </c>
      <c r="E15" s="20" t="s">
        <v>440</v>
      </c>
      <c r="F15" s="21" t="s">
        <v>446</v>
      </c>
      <c r="G15" s="19" t="s">
        <v>40</v>
      </c>
      <c r="H15" s="18" t="s">
        <v>37</v>
      </c>
      <c r="I15" s="20" t="s">
        <v>447</v>
      </c>
      <c r="J15" s="20"/>
    </row>
    <row r="16" spans="1:10" ht="21.75" customHeight="1" x14ac:dyDescent="0.35">
      <c r="A16" s="18">
        <v>11</v>
      </c>
      <c r="B16" s="22" t="s">
        <v>3</v>
      </c>
      <c r="C16" s="19" t="s">
        <v>428</v>
      </c>
      <c r="D16" s="19" t="s">
        <v>48</v>
      </c>
      <c r="E16" s="20" t="s">
        <v>448</v>
      </c>
      <c r="F16" s="21" t="s">
        <v>449</v>
      </c>
      <c r="G16" s="19" t="s">
        <v>36</v>
      </c>
      <c r="H16" s="18" t="s">
        <v>37</v>
      </c>
      <c r="I16" s="20" t="s">
        <v>450</v>
      </c>
      <c r="J16" s="23" t="s">
        <v>451</v>
      </c>
    </row>
    <row r="17" spans="1:10" ht="15" customHeight="1" x14ac:dyDescent="0.35">
      <c r="A17" s="18">
        <v>12</v>
      </c>
      <c r="B17" s="22" t="s">
        <v>3</v>
      </c>
      <c r="C17" s="19" t="s">
        <v>428</v>
      </c>
      <c r="D17" s="19" t="s">
        <v>48</v>
      </c>
      <c r="E17" s="20" t="s">
        <v>448</v>
      </c>
      <c r="F17" s="21" t="s">
        <v>452</v>
      </c>
      <c r="G17" s="19" t="s">
        <v>40</v>
      </c>
      <c r="H17" s="18" t="s">
        <v>37</v>
      </c>
      <c r="I17" s="20" t="s">
        <v>453</v>
      </c>
      <c r="J17" s="20"/>
    </row>
    <row r="18" spans="1:10" ht="15" customHeight="1" x14ac:dyDescent="0.35">
      <c r="A18" s="18">
        <v>13</v>
      </c>
      <c r="B18" s="22" t="s">
        <v>3</v>
      </c>
      <c r="C18" s="19" t="s">
        <v>428</v>
      </c>
      <c r="D18" s="19" t="s">
        <v>48</v>
      </c>
      <c r="E18" s="20" t="s">
        <v>448</v>
      </c>
      <c r="F18" s="21" t="s">
        <v>454</v>
      </c>
      <c r="G18" s="19" t="s">
        <v>40</v>
      </c>
      <c r="H18" s="18" t="s">
        <v>37</v>
      </c>
      <c r="I18" s="20" t="s">
        <v>455</v>
      </c>
      <c r="J18" s="20"/>
    </row>
    <row r="19" spans="1:10" ht="15" customHeight="1" x14ac:dyDescent="0.35">
      <c r="A19" s="18">
        <v>14</v>
      </c>
      <c r="B19" s="22" t="s">
        <v>3</v>
      </c>
      <c r="C19" s="19" t="s">
        <v>428</v>
      </c>
      <c r="D19" s="19" t="s">
        <v>48</v>
      </c>
      <c r="E19" s="20" t="s">
        <v>448</v>
      </c>
      <c r="F19" s="21" t="s">
        <v>456</v>
      </c>
      <c r="G19" s="19" t="s">
        <v>40</v>
      </c>
      <c r="H19" s="18" t="s">
        <v>37</v>
      </c>
      <c r="I19" s="20" t="s">
        <v>457</v>
      </c>
      <c r="J19" s="20"/>
    </row>
    <row r="20" spans="1:10" ht="21.75" customHeight="1" x14ac:dyDescent="0.35">
      <c r="A20" s="18">
        <v>15</v>
      </c>
      <c r="B20" s="22" t="s">
        <v>3</v>
      </c>
      <c r="C20" s="19" t="s">
        <v>428</v>
      </c>
      <c r="D20" s="19" t="s">
        <v>48</v>
      </c>
      <c r="E20" s="20"/>
      <c r="F20" s="21" t="s">
        <v>458</v>
      </c>
      <c r="G20" s="19" t="s">
        <v>56</v>
      </c>
      <c r="H20" s="18" t="s">
        <v>57</v>
      </c>
      <c r="I20" s="20" t="s">
        <v>459</v>
      </c>
      <c r="J20" s="23" t="s">
        <v>460</v>
      </c>
    </row>
    <row r="21" spans="1:10" ht="15" customHeight="1" x14ac:dyDescent="0.35">
      <c r="A21" s="18">
        <v>16</v>
      </c>
      <c r="B21" s="22" t="s">
        <v>3</v>
      </c>
      <c r="C21" s="19" t="s">
        <v>428</v>
      </c>
      <c r="D21" s="19" t="s">
        <v>48</v>
      </c>
      <c r="E21" s="20"/>
      <c r="F21" s="21" t="s">
        <v>461</v>
      </c>
      <c r="G21" s="19" t="s">
        <v>56</v>
      </c>
      <c r="H21" s="18" t="s">
        <v>57</v>
      </c>
      <c r="I21" s="20" t="s">
        <v>462</v>
      </c>
      <c r="J21" s="23" t="s">
        <v>463</v>
      </c>
    </row>
    <row r="22" spans="1:10" ht="21.75" customHeight="1" x14ac:dyDescent="0.35">
      <c r="A22" s="18">
        <v>17</v>
      </c>
      <c r="B22" s="22" t="s">
        <v>3</v>
      </c>
      <c r="C22" s="19" t="s">
        <v>428</v>
      </c>
      <c r="D22" s="19" t="s">
        <v>48</v>
      </c>
      <c r="E22" s="20"/>
      <c r="F22" s="21" t="s">
        <v>464</v>
      </c>
      <c r="G22" s="19" t="s">
        <v>56</v>
      </c>
      <c r="H22" s="18" t="s">
        <v>57</v>
      </c>
      <c r="I22" s="20" t="s">
        <v>465</v>
      </c>
      <c r="J22" s="23" t="s">
        <v>466</v>
      </c>
    </row>
    <row r="23" spans="1:10" ht="15" customHeight="1" x14ac:dyDescent="0.35">
      <c r="A23" s="18">
        <v>18</v>
      </c>
      <c r="B23" s="22" t="s">
        <v>3</v>
      </c>
      <c r="C23" s="19" t="s">
        <v>428</v>
      </c>
      <c r="D23" s="19" t="s">
        <v>48</v>
      </c>
      <c r="E23" s="20"/>
      <c r="F23" s="21" t="s">
        <v>467</v>
      </c>
      <c r="G23" s="19" t="s">
        <v>422</v>
      </c>
      <c r="H23" s="18" t="s">
        <v>50</v>
      </c>
      <c r="I23" s="20" t="s">
        <v>468</v>
      </c>
      <c r="J23" s="23" t="s">
        <v>469</v>
      </c>
    </row>
    <row r="24" spans="1:10" ht="23.25" customHeight="1" x14ac:dyDescent="0.35">
      <c r="A24" s="18">
        <v>19</v>
      </c>
      <c r="B24" s="22" t="s">
        <v>3</v>
      </c>
      <c r="C24" s="19" t="s">
        <v>428</v>
      </c>
      <c r="D24" s="19" t="s">
        <v>48</v>
      </c>
      <c r="E24" s="20"/>
      <c r="F24" s="21" t="s">
        <v>470</v>
      </c>
      <c r="G24" s="19" t="s">
        <v>56</v>
      </c>
      <c r="H24" s="18" t="s">
        <v>50</v>
      </c>
      <c r="I24" s="20" t="s">
        <v>471</v>
      </c>
      <c r="J24" s="23" t="s">
        <v>472</v>
      </c>
    </row>
    <row r="25" spans="1:10" ht="15" customHeight="1" x14ac:dyDescent="0.35">
      <c r="A25" s="18">
        <v>20</v>
      </c>
      <c r="B25" s="18" t="s">
        <v>7</v>
      </c>
      <c r="C25" s="19" t="s">
        <v>428</v>
      </c>
      <c r="D25" s="19" t="s">
        <v>48</v>
      </c>
      <c r="E25" s="20"/>
      <c r="F25" s="21" t="s">
        <v>59</v>
      </c>
      <c r="G25" s="19" t="s">
        <v>56</v>
      </c>
      <c r="H25" s="18" t="s">
        <v>57</v>
      </c>
      <c r="I25" s="20" t="s">
        <v>60</v>
      </c>
      <c r="J25" s="20"/>
    </row>
    <row r="26" spans="1:10" ht="15" customHeight="1" x14ac:dyDescent="0.35">
      <c r="A26" s="4" t="s">
        <v>473</v>
      </c>
      <c r="B26" s="4"/>
      <c r="C26" s="4"/>
      <c r="D26" s="4"/>
      <c r="E26" s="4"/>
      <c r="F26" s="4"/>
      <c r="G26" s="4"/>
      <c r="H26" s="4"/>
      <c r="I26" s="4"/>
      <c r="J26" s="4"/>
    </row>
    <row r="27" spans="1:10" ht="15" customHeight="1" x14ac:dyDescent="0.35">
      <c r="A27" s="18">
        <v>21</v>
      </c>
      <c r="B27" s="18" t="s">
        <v>5</v>
      </c>
      <c r="C27" s="19" t="s">
        <v>473</v>
      </c>
      <c r="D27" s="19" t="s">
        <v>34</v>
      </c>
      <c r="E27" s="20" t="s">
        <v>474</v>
      </c>
      <c r="F27" s="21" t="s">
        <v>429</v>
      </c>
      <c r="G27" s="19" t="s">
        <v>36</v>
      </c>
      <c r="H27" s="18" t="s">
        <v>37</v>
      </c>
      <c r="I27" s="20" t="s">
        <v>430</v>
      </c>
      <c r="J27" s="20"/>
    </row>
    <row r="28" spans="1:10" ht="15" customHeight="1" x14ac:dyDescent="0.35">
      <c r="A28" s="18">
        <v>22</v>
      </c>
      <c r="B28" s="18" t="s">
        <v>5</v>
      </c>
      <c r="C28" s="19" t="s">
        <v>473</v>
      </c>
      <c r="D28" s="19" t="s">
        <v>34</v>
      </c>
      <c r="E28" s="20" t="s">
        <v>474</v>
      </c>
      <c r="F28" s="21" t="s">
        <v>39</v>
      </c>
      <c r="G28" s="19" t="s">
        <v>40</v>
      </c>
      <c r="H28" s="18" t="s">
        <v>37</v>
      </c>
      <c r="I28" s="20" t="s">
        <v>431</v>
      </c>
      <c r="J28" s="20"/>
    </row>
    <row r="29" spans="1:10" ht="15" customHeight="1" x14ac:dyDescent="0.35">
      <c r="A29" s="18">
        <v>23</v>
      </c>
      <c r="B29" s="18" t="s">
        <v>5</v>
      </c>
      <c r="C29" s="19" t="s">
        <v>473</v>
      </c>
      <c r="D29" s="19" t="s">
        <v>34</v>
      </c>
      <c r="E29" s="20" t="s">
        <v>474</v>
      </c>
      <c r="F29" s="21" t="s">
        <v>432</v>
      </c>
      <c r="G29" s="19" t="s">
        <v>40</v>
      </c>
      <c r="H29" s="18" t="s">
        <v>37</v>
      </c>
      <c r="I29" s="20" t="s">
        <v>433</v>
      </c>
      <c r="J29" s="20"/>
    </row>
    <row r="30" spans="1:10" ht="15" customHeight="1" x14ac:dyDescent="0.35">
      <c r="A30" s="18">
        <v>24</v>
      </c>
      <c r="B30" s="18" t="s">
        <v>5</v>
      </c>
      <c r="C30" s="19" t="s">
        <v>473</v>
      </c>
      <c r="D30" s="19" t="s">
        <v>34</v>
      </c>
      <c r="E30" s="20" t="s">
        <v>474</v>
      </c>
      <c r="F30" s="21" t="s">
        <v>434</v>
      </c>
      <c r="G30" s="19" t="s">
        <v>40</v>
      </c>
      <c r="H30" s="18" t="s">
        <v>37</v>
      </c>
      <c r="I30" s="20" t="s">
        <v>435</v>
      </c>
      <c r="J30" s="20"/>
    </row>
    <row r="31" spans="1:10" ht="21.75" customHeight="1" x14ac:dyDescent="0.35">
      <c r="A31" s="18">
        <v>25</v>
      </c>
      <c r="B31" s="22" t="s">
        <v>3</v>
      </c>
      <c r="C31" s="19" t="s">
        <v>473</v>
      </c>
      <c r="D31" s="19" t="s">
        <v>34</v>
      </c>
      <c r="E31" s="20" t="s">
        <v>475</v>
      </c>
      <c r="F31" s="21" t="s">
        <v>476</v>
      </c>
      <c r="G31" s="19" t="s">
        <v>36</v>
      </c>
      <c r="H31" s="18" t="s">
        <v>37</v>
      </c>
      <c r="I31" s="20" t="s">
        <v>477</v>
      </c>
      <c r="J31" s="23" t="s">
        <v>478</v>
      </c>
    </row>
    <row r="32" spans="1:10" ht="15" customHeight="1" x14ac:dyDescent="0.35">
      <c r="A32" s="18">
        <v>26</v>
      </c>
      <c r="B32" s="22" t="s">
        <v>3</v>
      </c>
      <c r="C32" s="19" t="s">
        <v>473</v>
      </c>
      <c r="D32" s="19" t="s">
        <v>34</v>
      </c>
      <c r="E32" s="20" t="s">
        <v>475</v>
      </c>
      <c r="F32" s="21" t="s">
        <v>479</v>
      </c>
      <c r="G32" s="19" t="s">
        <v>40</v>
      </c>
      <c r="H32" s="18" t="s">
        <v>37</v>
      </c>
      <c r="I32" s="20" t="s">
        <v>480</v>
      </c>
      <c r="J32" s="20"/>
    </row>
    <row r="33" spans="1:10" ht="15" customHeight="1" x14ac:dyDescent="0.35">
      <c r="A33" s="18">
        <v>27</v>
      </c>
      <c r="B33" s="22" t="s">
        <v>3</v>
      </c>
      <c r="C33" s="19" t="s">
        <v>473</v>
      </c>
      <c r="D33" s="19" t="s">
        <v>34</v>
      </c>
      <c r="E33" s="20" t="s">
        <v>475</v>
      </c>
      <c r="F33" s="21" t="s">
        <v>481</v>
      </c>
      <c r="G33" s="19" t="s">
        <v>40</v>
      </c>
      <c r="H33" s="18" t="s">
        <v>37</v>
      </c>
      <c r="I33" s="20" t="s">
        <v>482</v>
      </c>
      <c r="J33" s="20"/>
    </row>
    <row r="34" spans="1:10" ht="15" customHeight="1" x14ac:dyDescent="0.35">
      <c r="A34" s="18">
        <v>28</v>
      </c>
      <c r="B34" s="22" t="s">
        <v>3</v>
      </c>
      <c r="C34" s="19" t="s">
        <v>473</v>
      </c>
      <c r="D34" s="19" t="s">
        <v>34</v>
      </c>
      <c r="E34" s="20" t="s">
        <v>475</v>
      </c>
      <c r="F34" s="21" t="s">
        <v>483</v>
      </c>
      <c r="G34" s="19" t="s">
        <v>40</v>
      </c>
      <c r="H34" s="18" t="s">
        <v>37</v>
      </c>
      <c r="I34" s="20" t="s">
        <v>484</v>
      </c>
      <c r="J34" s="20"/>
    </row>
    <row r="35" spans="1:10" ht="15" customHeight="1" x14ac:dyDescent="0.35">
      <c r="A35" s="18">
        <v>29</v>
      </c>
      <c r="B35" s="22" t="s">
        <v>3</v>
      </c>
      <c r="C35" s="19" t="s">
        <v>473</v>
      </c>
      <c r="D35" s="19" t="s">
        <v>34</v>
      </c>
      <c r="E35" s="20"/>
      <c r="F35" s="21" t="s">
        <v>369</v>
      </c>
      <c r="G35" s="19" t="s">
        <v>316</v>
      </c>
      <c r="H35" s="18" t="s">
        <v>57</v>
      </c>
      <c r="I35" s="20" t="s">
        <v>485</v>
      </c>
      <c r="J35" s="20"/>
    </row>
    <row r="36" spans="1:10" ht="34.5" customHeight="1" x14ac:dyDescent="0.35">
      <c r="A36" s="18">
        <v>30</v>
      </c>
      <c r="B36" s="22" t="s">
        <v>3</v>
      </c>
      <c r="C36" s="19" t="s">
        <v>473</v>
      </c>
      <c r="D36" s="19" t="s">
        <v>34</v>
      </c>
      <c r="E36" s="20" t="s">
        <v>486</v>
      </c>
      <c r="F36" s="21" t="s">
        <v>71</v>
      </c>
      <c r="G36" s="19" t="s">
        <v>36</v>
      </c>
      <c r="H36" s="18" t="s">
        <v>37</v>
      </c>
      <c r="I36" s="20" t="s">
        <v>72</v>
      </c>
      <c r="J36" s="20"/>
    </row>
    <row r="37" spans="1:10" ht="34.5" customHeight="1" x14ac:dyDescent="0.35">
      <c r="A37" s="18">
        <v>31</v>
      </c>
      <c r="B37" s="22" t="s">
        <v>3</v>
      </c>
      <c r="C37" s="19" t="s">
        <v>473</v>
      </c>
      <c r="D37" s="19" t="s">
        <v>34</v>
      </c>
      <c r="E37" s="20" t="s">
        <v>486</v>
      </c>
      <c r="F37" s="21" t="s">
        <v>73</v>
      </c>
      <c r="G37" s="19" t="s">
        <v>40</v>
      </c>
      <c r="H37" s="18" t="s">
        <v>37</v>
      </c>
      <c r="I37" s="20" t="s">
        <v>74</v>
      </c>
      <c r="J37" s="20"/>
    </row>
    <row r="38" spans="1:10" ht="34.5" customHeight="1" x14ac:dyDescent="0.35">
      <c r="A38" s="18">
        <v>32</v>
      </c>
      <c r="B38" s="22" t="s">
        <v>3</v>
      </c>
      <c r="C38" s="19" t="s">
        <v>473</v>
      </c>
      <c r="D38" s="19" t="s">
        <v>34</v>
      </c>
      <c r="E38" s="20" t="s">
        <v>486</v>
      </c>
      <c r="F38" s="21" t="s">
        <v>75</v>
      </c>
      <c r="G38" s="19" t="s">
        <v>40</v>
      </c>
      <c r="H38" s="18" t="s">
        <v>37</v>
      </c>
      <c r="I38" s="20" t="s">
        <v>76</v>
      </c>
      <c r="J38" s="20"/>
    </row>
    <row r="39" spans="1:10" ht="34.5" customHeight="1" x14ac:dyDescent="0.35">
      <c r="A39" s="18">
        <v>33</v>
      </c>
      <c r="B39" s="22" t="s">
        <v>3</v>
      </c>
      <c r="C39" s="19" t="s">
        <v>473</v>
      </c>
      <c r="D39" s="19" t="s">
        <v>34</v>
      </c>
      <c r="E39" s="20" t="s">
        <v>486</v>
      </c>
      <c r="F39" s="21" t="s">
        <v>77</v>
      </c>
      <c r="G39" s="19" t="s">
        <v>40</v>
      </c>
      <c r="H39" s="18" t="s">
        <v>37</v>
      </c>
      <c r="I39" s="20" t="s">
        <v>78</v>
      </c>
      <c r="J39" s="20"/>
    </row>
  </sheetData>
  <autoFilter ref="A4:J39" xr:uid="{00000000-0009-0000-0000-000003000000}"/>
  <mergeCells count="2">
    <mergeCell ref="A5:J5"/>
    <mergeCell ref="A26:J26"/>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51"/>
  <sheetViews>
    <sheetView zoomScaleNormal="100" workbookViewId="0">
      <pane ySplit="4" topLeftCell="A5" activePane="bottomLeft" state="frozen"/>
      <selection pane="bottomLeft"/>
    </sheetView>
  </sheetViews>
  <sheetFormatPr baseColWidth="10" defaultColWidth="8.6328125" defaultRowHeight="14.5" x14ac:dyDescent="0.35"/>
  <cols>
    <col min="1" max="1" width="5" customWidth="1"/>
    <col min="2" max="2" width="13" customWidth="1"/>
    <col min="3" max="3" width="22" customWidth="1"/>
    <col min="4" max="4" width="9" customWidth="1"/>
    <col min="5" max="5" width="22" customWidth="1"/>
    <col min="6" max="6" width="40" customWidth="1"/>
    <col min="7" max="7" width="10" customWidth="1"/>
    <col min="8" max="8" width="78" customWidth="1"/>
  </cols>
  <sheetData>
    <row r="1" spans="1:8" ht="15.75" customHeight="1" x14ac:dyDescent="0.35">
      <c r="A1" s="16" t="s">
        <v>487</v>
      </c>
    </row>
    <row r="2" spans="1:8" ht="30" customHeight="1" x14ac:dyDescent="0.35">
      <c r="A2" s="3" t="s">
        <v>488</v>
      </c>
      <c r="B2" s="3"/>
      <c r="C2" s="3"/>
      <c r="D2" s="3"/>
      <c r="E2" s="3"/>
      <c r="F2" s="3"/>
      <c r="G2" s="3"/>
      <c r="H2" s="3"/>
    </row>
    <row r="4" spans="1:8" ht="23.25" customHeight="1" x14ac:dyDescent="0.35">
      <c r="A4" s="17" t="s">
        <v>23</v>
      </c>
      <c r="B4" s="17" t="s">
        <v>489</v>
      </c>
      <c r="C4" s="17" t="s">
        <v>28</v>
      </c>
      <c r="D4" s="17" t="s">
        <v>490</v>
      </c>
      <c r="E4" s="17" t="s">
        <v>491</v>
      </c>
      <c r="F4" s="17" t="s">
        <v>492</v>
      </c>
      <c r="G4" s="17" t="s">
        <v>493</v>
      </c>
      <c r="H4" s="17" t="s">
        <v>494</v>
      </c>
    </row>
    <row r="5" spans="1:8" ht="15" customHeight="1" x14ac:dyDescent="0.35">
      <c r="A5" s="18">
        <v>1</v>
      </c>
      <c r="B5" s="19" t="s">
        <v>495</v>
      </c>
      <c r="C5" s="21" t="s">
        <v>429</v>
      </c>
      <c r="D5" s="18" t="s">
        <v>5</v>
      </c>
      <c r="E5" s="24" t="s">
        <v>496</v>
      </c>
      <c r="F5" s="20" t="s">
        <v>497</v>
      </c>
      <c r="G5" s="18" t="s">
        <v>497</v>
      </c>
      <c r="H5" s="20" t="s">
        <v>498</v>
      </c>
    </row>
    <row r="6" spans="1:8" ht="15" customHeight="1" x14ac:dyDescent="0.35">
      <c r="A6" s="18">
        <v>2</v>
      </c>
      <c r="B6" s="19" t="s">
        <v>495</v>
      </c>
      <c r="C6" s="21" t="s">
        <v>39</v>
      </c>
      <c r="D6" s="18" t="s">
        <v>5</v>
      </c>
      <c r="E6" s="25" t="s">
        <v>499</v>
      </c>
      <c r="F6" s="20" t="s">
        <v>500</v>
      </c>
      <c r="G6" s="18" t="s">
        <v>501</v>
      </c>
      <c r="H6" s="20" t="s">
        <v>502</v>
      </c>
    </row>
    <row r="7" spans="1:8" ht="15" customHeight="1" x14ac:dyDescent="0.35">
      <c r="A7" s="18">
        <v>3</v>
      </c>
      <c r="B7" s="19" t="s">
        <v>495</v>
      </c>
      <c r="C7" s="21" t="s">
        <v>432</v>
      </c>
      <c r="D7" s="18" t="s">
        <v>5</v>
      </c>
      <c r="E7" s="26" t="s">
        <v>503</v>
      </c>
      <c r="F7" s="20" t="s">
        <v>500</v>
      </c>
      <c r="G7" s="18" t="s">
        <v>501</v>
      </c>
      <c r="H7" s="20" t="s">
        <v>504</v>
      </c>
    </row>
    <row r="8" spans="1:8" ht="15" customHeight="1" x14ac:dyDescent="0.35">
      <c r="A8" s="18">
        <v>4</v>
      </c>
      <c r="B8" s="19" t="s">
        <v>495</v>
      </c>
      <c r="C8" s="21" t="s">
        <v>434</v>
      </c>
      <c r="D8" s="18" t="s">
        <v>5</v>
      </c>
      <c r="E8" s="25" t="s">
        <v>499</v>
      </c>
      <c r="F8" s="20" t="s">
        <v>505</v>
      </c>
      <c r="G8" s="18" t="s">
        <v>501</v>
      </c>
      <c r="H8" s="20" t="s">
        <v>506</v>
      </c>
    </row>
    <row r="9" spans="1:8" ht="23.25" customHeight="1" x14ac:dyDescent="0.35">
      <c r="A9" s="18">
        <v>5</v>
      </c>
      <c r="B9" s="19" t="s">
        <v>495</v>
      </c>
      <c r="C9" s="21" t="s">
        <v>436</v>
      </c>
      <c r="D9" s="18" t="s">
        <v>3</v>
      </c>
      <c r="E9" s="26" t="s">
        <v>503</v>
      </c>
      <c r="F9" s="20" t="s">
        <v>507</v>
      </c>
      <c r="G9" s="18" t="s">
        <v>508</v>
      </c>
      <c r="H9" s="20" t="s">
        <v>509</v>
      </c>
    </row>
    <row r="10" spans="1:8" ht="15" customHeight="1" x14ac:dyDescent="0.35">
      <c r="A10" s="18">
        <v>6</v>
      </c>
      <c r="B10" s="19" t="s">
        <v>495</v>
      </c>
      <c r="C10" s="21" t="s">
        <v>438</v>
      </c>
      <c r="D10" s="18" t="s">
        <v>7</v>
      </c>
      <c r="E10" s="24" t="s">
        <v>496</v>
      </c>
      <c r="F10" s="20" t="s">
        <v>497</v>
      </c>
      <c r="G10" s="18" t="s">
        <v>497</v>
      </c>
      <c r="H10" s="20" t="s">
        <v>510</v>
      </c>
    </row>
    <row r="11" spans="1:8" ht="15" customHeight="1" x14ac:dyDescent="0.35">
      <c r="A11" s="18">
        <v>7</v>
      </c>
      <c r="B11" s="19" t="s">
        <v>495</v>
      </c>
      <c r="C11" s="21" t="s">
        <v>441</v>
      </c>
      <c r="D11" s="18" t="s">
        <v>5</v>
      </c>
      <c r="E11" s="24" t="s">
        <v>496</v>
      </c>
      <c r="F11" s="20" t="s">
        <v>497</v>
      </c>
      <c r="G11" s="18" t="s">
        <v>497</v>
      </c>
      <c r="H11" s="20" t="s">
        <v>511</v>
      </c>
    </row>
    <row r="12" spans="1:8" ht="23.25" customHeight="1" x14ac:dyDescent="0.35">
      <c r="A12" s="18">
        <v>8</v>
      </c>
      <c r="B12" s="19" t="s">
        <v>495</v>
      </c>
      <c r="C12" s="21" t="s">
        <v>443</v>
      </c>
      <c r="D12" s="18" t="s">
        <v>5</v>
      </c>
      <c r="E12" s="25" t="s">
        <v>499</v>
      </c>
      <c r="F12" s="20" t="s">
        <v>512</v>
      </c>
      <c r="G12" s="18" t="s">
        <v>501</v>
      </c>
      <c r="H12" s="20" t="s">
        <v>513</v>
      </c>
    </row>
    <row r="13" spans="1:8" ht="23.25" customHeight="1" x14ac:dyDescent="0.35">
      <c r="A13" s="18">
        <v>9</v>
      </c>
      <c r="B13" s="19" t="s">
        <v>495</v>
      </c>
      <c r="C13" s="21" t="s">
        <v>444</v>
      </c>
      <c r="D13" s="18" t="s">
        <v>5</v>
      </c>
      <c r="E13" s="25" t="s">
        <v>499</v>
      </c>
      <c r="F13" s="20" t="s">
        <v>514</v>
      </c>
      <c r="G13" s="18" t="s">
        <v>508</v>
      </c>
      <c r="H13" s="20" t="s">
        <v>515</v>
      </c>
    </row>
    <row r="14" spans="1:8" ht="15" customHeight="1" x14ac:dyDescent="0.35">
      <c r="A14" s="18">
        <v>10</v>
      </c>
      <c r="B14" s="19" t="s">
        <v>495</v>
      </c>
      <c r="C14" s="21" t="s">
        <v>446</v>
      </c>
      <c r="D14" s="18" t="s">
        <v>5</v>
      </c>
      <c r="E14" s="25" t="s">
        <v>499</v>
      </c>
      <c r="F14" s="20" t="s">
        <v>516</v>
      </c>
      <c r="G14" s="18" t="s">
        <v>501</v>
      </c>
      <c r="H14" s="20" t="s">
        <v>517</v>
      </c>
    </row>
    <row r="15" spans="1:8" ht="15" customHeight="1" x14ac:dyDescent="0.35">
      <c r="A15" s="18">
        <v>11</v>
      </c>
      <c r="B15" s="19" t="s">
        <v>495</v>
      </c>
      <c r="C15" s="21" t="s">
        <v>449</v>
      </c>
      <c r="D15" s="18" t="s">
        <v>3</v>
      </c>
      <c r="E15" s="24" t="s">
        <v>496</v>
      </c>
      <c r="F15" s="20" t="s">
        <v>497</v>
      </c>
      <c r="G15" s="18" t="s">
        <v>497</v>
      </c>
      <c r="H15" s="20" t="s">
        <v>518</v>
      </c>
    </row>
    <row r="16" spans="1:8" ht="15" customHeight="1" x14ac:dyDescent="0.35">
      <c r="A16" s="18">
        <v>12</v>
      </c>
      <c r="B16" s="19" t="s">
        <v>495</v>
      </c>
      <c r="C16" s="21" t="s">
        <v>452</v>
      </c>
      <c r="D16" s="18" t="s">
        <v>3</v>
      </c>
      <c r="E16" s="25" t="s">
        <v>499</v>
      </c>
      <c r="F16" s="20" t="s">
        <v>497</v>
      </c>
      <c r="G16" s="18" t="s">
        <v>501</v>
      </c>
      <c r="H16" s="20" t="s">
        <v>519</v>
      </c>
    </row>
    <row r="17" spans="1:8" ht="34.5" customHeight="1" x14ac:dyDescent="0.35">
      <c r="A17" s="18">
        <v>13</v>
      </c>
      <c r="B17" s="19" t="s">
        <v>495</v>
      </c>
      <c r="C17" s="21" t="s">
        <v>454</v>
      </c>
      <c r="D17" s="18" t="s">
        <v>3</v>
      </c>
      <c r="E17" s="25" t="s">
        <v>499</v>
      </c>
      <c r="F17" s="20" t="s">
        <v>520</v>
      </c>
      <c r="G17" s="18" t="s">
        <v>508</v>
      </c>
      <c r="H17" s="20" t="s">
        <v>521</v>
      </c>
    </row>
    <row r="18" spans="1:8" ht="15" customHeight="1" x14ac:dyDescent="0.35">
      <c r="A18" s="18">
        <v>14</v>
      </c>
      <c r="B18" s="19" t="s">
        <v>495</v>
      </c>
      <c r="C18" s="21" t="s">
        <v>456</v>
      </c>
      <c r="D18" s="18" t="s">
        <v>3</v>
      </c>
      <c r="E18" s="25" t="s">
        <v>499</v>
      </c>
      <c r="F18" s="20" t="s">
        <v>497</v>
      </c>
      <c r="G18" s="18" t="s">
        <v>501</v>
      </c>
      <c r="H18" s="20" t="s">
        <v>519</v>
      </c>
    </row>
    <row r="19" spans="1:8" ht="34.5" customHeight="1" x14ac:dyDescent="0.35">
      <c r="A19" s="18">
        <v>15</v>
      </c>
      <c r="B19" s="19" t="s">
        <v>495</v>
      </c>
      <c r="C19" s="21" t="s">
        <v>458</v>
      </c>
      <c r="D19" s="18" t="s">
        <v>3</v>
      </c>
      <c r="E19" s="25" t="s">
        <v>499</v>
      </c>
      <c r="F19" s="20" t="s">
        <v>522</v>
      </c>
      <c r="G19" s="18" t="s">
        <v>501</v>
      </c>
      <c r="H19" s="20" t="s">
        <v>523</v>
      </c>
    </row>
    <row r="20" spans="1:8" ht="23.25" customHeight="1" x14ac:dyDescent="0.35">
      <c r="A20" s="18">
        <v>16</v>
      </c>
      <c r="B20" s="19" t="s">
        <v>495</v>
      </c>
      <c r="C20" s="21" t="s">
        <v>461</v>
      </c>
      <c r="D20" s="18" t="s">
        <v>3</v>
      </c>
      <c r="E20" s="24" t="s">
        <v>496</v>
      </c>
      <c r="F20" s="20" t="s">
        <v>497</v>
      </c>
      <c r="G20" s="18" t="s">
        <v>497</v>
      </c>
      <c r="H20" s="20" t="s">
        <v>524</v>
      </c>
    </row>
    <row r="21" spans="1:8" ht="23.25" customHeight="1" x14ac:dyDescent="0.35">
      <c r="A21" s="18">
        <v>17</v>
      </c>
      <c r="B21" s="19" t="s">
        <v>495</v>
      </c>
      <c r="C21" s="21" t="s">
        <v>464</v>
      </c>
      <c r="D21" s="18" t="s">
        <v>3</v>
      </c>
      <c r="E21" s="27" t="s">
        <v>525</v>
      </c>
      <c r="F21" s="20" t="s">
        <v>526</v>
      </c>
      <c r="G21" s="18" t="s">
        <v>527</v>
      </c>
      <c r="H21" s="20" t="s">
        <v>528</v>
      </c>
    </row>
    <row r="22" spans="1:8" ht="34.5" customHeight="1" x14ac:dyDescent="0.35">
      <c r="A22" s="18">
        <v>18</v>
      </c>
      <c r="B22" s="19" t="s">
        <v>495</v>
      </c>
      <c r="C22" s="21" t="s">
        <v>467</v>
      </c>
      <c r="D22" s="18" t="s">
        <v>3</v>
      </c>
      <c r="E22" s="27" t="s">
        <v>525</v>
      </c>
      <c r="F22" s="20" t="s">
        <v>529</v>
      </c>
      <c r="G22" s="18" t="s">
        <v>527</v>
      </c>
      <c r="H22" s="20" t="s">
        <v>530</v>
      </c>
    </row>
    <row r="23" spans="1:8" ht="15" customHeight="1" x14ac:dyDescent="0.35">
      <c r="A23" s="18">
        <v>19</v>
      </c>
      <c r="B23" s="19" t="s">
        <v>495</v>
      </c>
      <c r="C23" s="21" t="s">
        <v>470</v>
      </c>
      <c r="D23" s="18" t="s">
        <v>3</v>
      </c>
      <c r="E23" s="27" t="s">
        <v>525</v>
      </c>
      <c r="F23" s="20" t="s">
        <v>531</v>
      </c>
      <c r="G23" s="18" t="s">
        <v>527</v>
      </c>
      <c r="H23" s="20" t="s">
        <v>532</v>
      </c>
    </row>
    <row r="24" spans="1:8" ht="15" customHeight="1" x14ac:dyDescent="0.35">
      <c r="A24" s="18">
        <v>20</v>
      </c>
      <c r="B24" s="19" t="s">
        <v>495</v>
      </c>
      <c r="C24" s="21" t="s">
        <v>59</v>
      </c>
      <c r="D24" s="18" t="s">
        <v>7</v>
      </c>
      <c r="E24" s="26" t="s">
        <v>503</v>
      </c>
      <c r="F24" s="20" t="s">
        <v>533</v>
      </c>
      <c r="G24" s="18" t="s">
        <v>501</v>
      </c>
      <c r="H24" s="20" t="s">
        <v>534</v>
      </c>
    </row>
    <row r="25" spans="1:8" ht="15" customHeight="1" x14ac:dyDescent="0.35">
      <c r="A25" s="18">
        <v>21</v>
      </c>
      <c r="B25" s="19" t="s">
        <v>535</v>
      </c>
      <c r="C25" s="21" t="s">
        <v>429</v>
      </c>
      <c r="D25" s="18" t="s">
        <v>5</v>
      </c>
      <c r="E25" s="24" t="s">
        <v>496</v>
      </c>
      <c r="F25" s="20" t="s">
        <v>497</v>
      </c>
      <c r="G25" s="18" t="s">
        <v>497</v>
      </c>
      <c r="H25" s="20" t="s">
        <v>536</v>
      </c>
    </row>
    <row r="26" spans="1:8" ht="15" customHeight="1" x14ac:dyDescent="0.35">
      <c r="A26" s="18">
        <v>22</v>
      </c>
      <c r="B26" s="19" t="s">
        <v>535</v>
      </c>
      <c r="C26" s="21" t="s">
        <v>39</v>
      </c>
      <c r="D26" s="18" t="s">
        <v>5</v>
      </c>
      <c r="E26" s="25" t="s">
        <v>499</v>
      </c>
      <c r="F26" s="20" t="s">
        <v>537</v>
      </c>
      <c r="G26" s="18" t="s">
        <v>501</v>
      </c>
      <c r="H26" s="20" t="s">
        <v>536</v>
      </c>
    </row>
    <row r="27" spans="1:8" ht="23.25" customHeight="1" x14ac:dyDescent="0.35">
      <c r="A27" s="18">
        <v>23</v>
      </c>
      <c r="B27" s="19" t="s">
        <v>535</v>
      </c>
      <c r="C27" s="21" t="s">
        <v>432</v>
      </c>
      <c r="D27" s="18" t="s">
        <v>5</v>
      </c>
      <c r="E27" s="26" t="s">
        <v>503</v>
      </c>
      <c r="F27" s="20" t="s">
        <v>500</v>
      </c>
      <c r="G27" s="18" t="s">
        <v>501</v>
      </c>
      <c r="H27" s="20" t="s">
        <v>538</v>
      </c>
    </row>
    <row r="28" spans="1:8" ht="15" customHeight="1" x14ac:dyDescent="0.35">
      <c r="A28" s="18">
        <v>24</v>
      </c>
      <c r="B28" s="19" t="s">
        <v>535</v>
      </c>
      <c r="C28" s="21" t="s">
        <v>434</v>
      </c>
      <c r="D28" s="18" t="s">
        <v>5</v>
      </c>
      <c r="E28" s="25" t="s">
        <v>499</v>
      </c>
      <c r="F28" s="20" t="s">
        <v>505</v>
      </c>
      <c r="G28" s="18" t="s">
        <v>501</v>
      </c>
      <c r="H28" s="20" t="s">
        <v>536</v>
      </c>
    </row>
    <row r="29" spans="1:8" ht="15" customHeight="1" x14ac:dyDescent="0.35">
      <c r="A29" s="18">
        <v>25</v>
      </c>
      <c r="B29" s="19" t="s">
        <v>535</v>
      </c>
      <c r="C29" s="21" t="s">
        <v>476</v>
      </c>
      <c r="D29" s="18" t="s">
        <v>3</v>
      </c>
      <c r="E29" s="24" t="s">
        <v>496</v>
      </c>
      <c r="F29" s="20" t="s">
        <v>497</v>
      </c>
      <c r="G29" s="18" t="s">
        <v>497</v>
      </c>
      <c r="H29" s="20" t="s">
        <v>539</v>
      </c>
    </row>
    <row r="30" spans="1:8" ht="23.25" customHeight="1" x14ac:dyDescent="0.35">
      <c r="A30" s="18">
        <v>26</v>
      </c>
      <c r="B30" s="19" t="s">
        <v>535</v>
      </c>
      <c r="C30" s="21" t="s">
        <v>479</v>
      </c>
      <c r="D30" s="18" t="s">
        <v>3</v>
      </c>
      <c r="E30" s="26" t="s">
        <v>503</v>
      </c>
      <c r="F30" s="20" t="s">
        <v>540</v>
      </c>
      <c r="G30" s="18" t="s">
        <v>501</v>
      </c>
      <c r="H30" s="20" t="s">
        <v>541</v>
      </c>
    </row>
    <row r="31" spans="1:8" ht="15" customHeight="1" x14ac:dyDescent="0.35">
      <c r="A31" s="18">
        <v>27</v>
      </c>
      <c r="B31" s="19" t="s">
        <v>535</v>
      </c>
      <c r="C31" s="21" t="s">
        <v>481</v>
      </c>
      <c r="D31" s="18" t="s">
        <v>3</v>
      </c>
      <c r="E31" s="25" t="s">
        <v>499</v>
      </c>
      <c r="F31" s="20" t="s">
        <v>497</v>
      </c>
      <c r="G31" s="18" t="s">
        <v>501</v>
      </c>
      <c r="H31" s="20" t="s">
        <v>542</v>
      </c>
    </row>
    <row r="32" spans="1:8" ht="23.25" customHeight="1" x14ac:dyDescent="0.35">
      <c r="A32" s="18">
        <v>28</v>
      </c>
      <c r="B32" s="19" t="s">
        <v>535</v>
      </c>
      <c r="C32" s="21" t="s">
        <v>483</v>
      </c>
      <c r="D32" s="18" t="s">
        <v>3</v>
      </c>
      <c r="E32" s="26" t="s">
        <v>503</v>
      </c>
      <c r="F32" s="20" t="s">
        <v>543</v>
      </c>
      <c r="G32" s="18" t="s">
        <v>501</v>
      </c>
      <c r="H32" s="20" t="s">
        <v>544</v>
      </c>
    </row>
    <row r="33" spans="1:8" ht="23.25" customHeight="1" x14ac:dyDescent="0.35">
      <c r="A33" s="18">
        <v>29</v>
      </c>
      <c r="B33" s="19" t="s">
        <v>535</v>
      </c>
      <c r="C33" s="21" t="s">
        <v>369</v>
      </c>
      <c r="D33" s="18" t="s">
        <v>3</v>
      </c>
      <c r="E33" s="26" t="s">
        <v>503</v>
      </c>
      <c r="F33" s="20" t="s">
        <v>545</v>
      </c>
      <c r="G33" s="18" t="s">
        <v>508</v>
      </c>
      <c r="H33" s="20" t="s">
        <v>546</v>
      </c>
    </row>
    <row r="34" spans="1:8" ht="15" customHeight="1" x14ac:dyDescent="0.35">
      <c r="A34" s="18">
        <v>30</v>
      </c>
      <c r="B34" s="19" t="s">
        <v>535</v>
      </c>
      <c r="C34" s="21" t="s">
        <v>71</v>
      </c>
      <c r="D34" s="18" t="s">
        <v>3</v>
      </c>
      <c r="E34" s="24" t="s">
        <v>496</v>
      </c>
      <c r="F34" s="20" t="s">
        <v>497</v>
      </c>
      <c r="G34" s="18" t="s">
        <v>497</v>
      </c>
      <c r="H34" s="20" t="s">
        <v>547</v>
      </c>
    </row>
    <row r="35" spans="1:8" ht="15" customHeight="1" x14ac:dyDescent="0.35">
      <c r="A35" s="18">
        <v>31</v>
      </c>
      <c r="B35" s="19" t="s">
        <v>535</v>
      </c>
      <c r="C35" s="21" t="s">
        <v>73</v>
      </c>
      <c r="D35" s="18" t="s">
        <v>3</v>
      </c>
      <c r="E35" s="25" t="s">
        <v>499</v>
      </c>
      <c r="F35" s="20" t="s">
        <v>497</v>
      </c>
      <c r="G35" s="18" t="s">
        <v>501</v>
      </c>
      <c r="H35" s="20" t="s">
        <v>519</v>
      </c>
    </row>
    <row r="36" spans="1:8" ht="23.25" customHeight="1" x14ac:dyDescent="0.35">
      <c r="A36" s="18">
        <v>32</v>
      </c>
      <c r="B36" s="19" t="s">
        <v>535</v>
      </c>
      <c r="C36" s="21" t="s">
        <v>75</v>
      </c>
      <c r="D36" s="18" t="s">
        <v>3</v>
      </c>
      <c r="E36" s="26" t="s">
        <v>503</v>
      </c>
      <c r="F36" s="20" t="s">
        <v>548</v>
      </c>
      <c r="G36" s="18" t="s">
        <v>508</v>
      </c>
      <c r="H36" s="20" t="s">
        <v>549</v>
      </c>
    </row>
    <row r="37" spans="1:8" ht="15" customHeight="1" x14ac:dyDescent="0.35">
      <c r="A37" s="18">
        <v>33</v>
      </c>
      <c r="B37" s="19" t="s">
        <v>535</v>
      </c>
      <c r="C37" s="21" t="s">
        <v>77</v>
      </c>
      <c r="D37" s="18" t="s">
        <v>3</v>
      </c>
      <c r="E37" s="25" t="s">
        <v>499</v>
      </c>
      <c r="F37" s="20" t="s">
        <v>497</v>
      </c>
      <c r="G37" s="18" t="s">
        <v>501</v>
      </c>
      <c r="H37" s="20" t="s">
        <v>519</v>
      </c>
    </row>
    <row r="39" spans="1:8" ht="15" customHeight="1" x14ac:dyDescent="0.35">
      <c r="B39" s="28" t="s">
        <v>550</v>
      </c>
    </row>
    <row r="40" spans="1:8" ht="15" customHeight="1" x14ac:dyDescent="0.35">
      <c r="B40" s="29" t="s">
        <v>503</v>
      </c>
      <c r="C40" s="30">
        <f>COUNTIF($E$5:$E$37,B40)</f>
        <v>8</v>
      </c>
    </row>
    <row r="41" spans="1:8" ht="15" customHeight="1" x14ac:dyDescent="0.35">
      <c r="B41" s="31" t="s">
        <v>525</v>
      </c>
      <c r="C41" s="30">
        <f>COUNTIF($E$5:$E$37,B41)</f>
        <v>3</v>
      </c>
    </row>
    <row r="42" spans="1:8" ht="15" customHeight="1" x14ac:dyDescent="0.35">
      <c r="B42" s="32" t="s">
        <v>499</v>
      </c>
      <c r="C42" s="30">
        <f>COUNTIF($E$5:$E$37,B42)</f>
        <v>14</v>
      </c>
    </row>
    <row r="43" spans="1:8" ht="15" customHeight="1" x14ac:dyDescent="0.35">
      <c r="B43" s="33" t="s">
        <v>496</v>
      </c>
      <c r="C43" s="30">
        <f>COUNTIF($E$5:$E$37,B43)</f>
        <v>8</v>
      </c>
    </row>
    <row r="44" spans="1:8" ht="15" customHeight="1" x14ac:dyDescent="0.35">
      <c r="B44" s="10" t="s">
        <v>551</v>
      </c>
      <c r="C44" s="34">
        <f>SUM(C40:C43)</f>
        <v>33</v>
      </c>
    </row>
    <row r="46" spans="1:8" ht="15" customHeight="1" x14ac:dyDescent="0.35">
      <c r="B46" s="28" t="s">
        <v>552</v>
      </c>
    </row>
    <row r="47" spans="1:8" ht="45.75" customHeight="1" x14ac:dyDescent="0.35">
      <c r="B47" s="10" t="s">
        <v>553</v>
      </c>
      <c r="C47" s="2" t="s">
        <v>554</v>
      </c>
      <c r="D47" s="2"/>
      <c r="E47" s="2"/>
      <c r="F47" s="2"/>
      <c r="G47" s="2"/>
      <c r="H47" s="2"/>
    </row>
    <row r="48" spans="1:8" ht="45.75" customHeight="1" x14ac:dyDescent="0.35">
      <c r="B48" s="10" t="s">
        <v>555</v>
      </c>
      <c r="C48" s="2" t="s">
        <v>556</v>
      </c>
      <c r="D48" s="2"/>
      <c r="E48" s="2"/>
      <c r="F48" s="2"/>
      <c r="G48" s="2"/>
      <c r="H48" s="2"/>
    </row>
    <row r="49" spans="2:8" ht="45.75" customHeight="1" x14ac:dyDescent="0.35">
      <c r="B49" s="10" t="s">
        <v>557</v>
      </c>
      <c r="C49" s="2" t="s">
        <v>558</v>
      </c>
      <c r="D49" s="2"/>
      <c r="E49" s="2"/>
      <c r="F49" s="2"/>
      <c r="G49" s="2"/>
      <c r="H49" s="2"/>
    </row>
    <row r="50" spans="2:8" ht="45.75" customHeight="1" x14ac:dyDescent="0.35">
      <c r="B50" s="10" t="s">
        <v>559</v>
      </c>
      <c r="C50" s="2" t="s">
        <v>560</v>
      </c>
      <c r="D50" s="2"/>
      <c r="E50" s="2"/>
      <c r="F50" s="2"/>
      <c r="G50" s="2"/>
      <c r="H50" s="2"/>
    </row>
    <row r="51" spans="2:8" ht="45.75" customHeight="1" x14ac:dyDescent="0.35">
      <c r="B51" s="10" t="s">
        <v>561</v>
      </c>
      <c r="C51" s="2" t="s">
        <v>562</v>
      </c>
      <c r="D51" s="2"/>
      <c r="E51" s="2"/>
      <c r="F51" s="2"/>
      <c r="G51" s="2"/>
      <c r="H51" s="2"/>
    </row>
  </sheetData>
  <autoFilter ref="A4:H37" xr:uid="{00000000-0009-0000-0000-000004000000}"/>
  <mergeCells count="6">
    <mergeCell ref="C51:H51"/>
    <mergeCell ref="A2:H2"/>
    <mergeCell ref="C47:H47"/>
    <mergeCell ref="C48:H48"/>
    <mergeCell ref="C49:H49"/>
    <mergeCell ref="C50:H50"/>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59"/>
  <sheetViews>
    <sheetView zoomScaleNormal="100" workbookViewId="0">
      <pane ySplit="4" topLeftCell="A5" activePane="bottomLeft" state="frozen"/>
      <selection pane="bottomLeft"/>
    </sheetView>
  </sheetViews>
  <sheetFormatPr baseColWidth="10" defaultColWidth="8.6328125" defaultRowHeight="14.5" x14ac:dyDescent="0.35"/>
  <cols>
    <col min="1" max="1" width="5" customWidth="1"/>
    <col min="2" max="2" width="13" customWidth="1"/>
    <col min="3" max="3" width="22" customWidth="1"/>
    <col min="4" max="4" width="20" customWidth="1"/>
    <col min="5" max="5" width="40" customWidth="1"/>
    <col min="6" max="6" width="9" customWidth="1"/>
    <col min="7" max="7" width="88" customWidth="1"/>
  </cols>
  <sheetData>
    <row r="1" spans="1:7" ht="15.75" customHeight="1" x14ac:dyDescent="0.35">
      <c r="A1" s="16" t="s">
        <v>563</v>
      </c>
    </row>
    <row r="2" spans="1:7" ht="27.75" customHeight="1" x14ac:dyDescent="0.35">
      <c r="A2" s="3" t="s">
        <v>564</v>
      </c>
      <c r="B2" s="3"/>
      <c r="C2" s="3"/>
      <c r="D2" s="3"/>
      <c r="E2" s="3"/>
      <c r="F2" s="3"/>
    </row>
    <row r="4" spans="1:7" ht="23.25" customHeight="1" x14ac:dyDescent="0.35">
      <c r="A4" s="17" t="s">
        <v>23</v>
      </c>
      <c r="B4" s="17" t="s">
        <v>489</v>
      </c>
      <c r="C4" s="17" t="s">
        <v>28</v>
      </c>
      <c r="D4" s="17" t="s">
        <v>565</v>
      </c>
      <c r="E4" s="17" t="s">
        <v>566</v>
      </c>
      <c r="F4" s="17" t="s">
        <v>567</v>
      </c>
      <c r="G4" s="17" t="s">
        <v>568</v>
      </c>
    </row>
    <row r="5" spans="1:7" ht="23.25" customHeight="1" x14ac:dyDescent="0.35">
      <c r="A5" s="18">
        <v>1</v>
      </c>
      <c r="B5" s="19" t="s">
        <v>495</v>
      </c>
      <c r="C5" s="21" t="s">
        <v>429</v>
      </c>
      <c r="D5" s="35" t="s">
        <v>569</v>
      </c>
      <c r="E5" s="20" t="s">
        <v>497</v>
      </c>
      <c r="F5" s="18" t="s">
        <v>570</v>
      </c>
      <c r="G5" s="20" t="s">
        <v>571</v>
      </c>
    </row>
    <row r="6" spans="1:7" ht="23.25" customHeight="1" x14ac:dyDescent="0.35">
      <c r="A6" s="18">
        <v>2</v>
      </c>
      <c r="B6" s="19" t="s">
        <v>495</v>
      </c>
      <c r="C6" s="21" t="s">
        <v>39</v>
      </c>
      <c r="D6" s="35" t="s">
        <v>569</v>
      </c>
      <c r="E6" s="20" t="s">
        <v>497</v>
      </c>
      <c r="F6" s="18" t="s">
        <v>570</v>
      </c>
      <c r="G6" s="20" t="s">
        <v>572</v>
      </c>
    </row>
    <row r="7" spans="1:7" ht="23.25" customHeight="1" x14ac:dyDescent="0.35">
      <c r="A7" s="18">
        <v>3</v>
      </c>
      <c r="B7" s="19" t="s">
        <v>495</v>
      </c>
      <c r="C7" s="21" t="s">
        <v>432</v>
      </c>
      <c r="D7" s="35" t="s">
        <v>569</v>
      </c>
      <c r="E7" s="20" t="s">
        <v>500</v>
      </c>
      <c r="F7" s="18" t="s">
        <v>570</v>
      </c>
      <c r="G7" s="20" t="s">
        <v>573</v>
      </c>
    </row>
    <row r="8" spans="1:7" ht="15" customHeight="1" x14ac:dyDescent="0.35">
      <c r="A8" s="18">
        <v>4</v>
      </c>
      <c r="B8" s="19" t="s">
        <v>495</v>
      </c>
      <c r="C8" s="21" t="s">
        <v>434</v>
      </c>
      <c r="D8" s="35" t="s">
        <v>569</v>
      </c>
      <c r="E8" s="20" t="s">
        <v>497</v>
      </c>
      <c r="F8" s="18" t="s">
        <v>570</v>
      </c>
      <c r="G8" s="20" t="s">
        <v>574</v>
      </c>
    </row>
    <row r="9" spans="1:7" ht="23.25" customHeight="1" x14ac:dyDescent="0.35">
      <c r="A9" s="18">
        <v>5</v>
      </c>
      <c r="B9" s="19" t="s">
        <v>495</v>
      </c>
      <c r="C9" s="21" t="s">
        <v>436</v>
      </c>
      <c r="D9" s="35" t="s">
        <v>569</v>
      </c>
      <c r="E9" s="20" t="s">
        <v>575</v>
      </c>
      <c r="F9" s="18" t="s">
        <v>576</v>
      </c>
      <c r="G9" s="20" t="s">
        <v>577</v>
      </c>
    </row>
    <row r="10" spans="1:7" ht="15" customHeight="1" x14ac:dyDescent="0.35">
      <c r="A10" s="18">
        <v>6</v>
      </c>
      <c r="B10" s="19" t="s">
        <v>495</v>
      </c>
      <c r="C10" s="21" t="s">
        <v>438</v>
      </c>
      <c r="D10" s="35" t="s">
        <v>569</v>
      </c>
      <c r="E10" s="20" t="s">
        <v>497</v>
      </c>
      <c r="F10" s="18" t="s">
        <v>570</v>
      </c>
      <c r="G10" s="20" t="s">
        <v>578</v>
      </c>
    </row>
    <row r="11" spans="1:7" ht="23.25" customHeight="1" x14ac:dyDescent="0.35">
      <c r="A11" s="18">
        <v>7</v>
      </c>
      <c r="B11" s="19" t="s">
        <v>495</v>
      </c>
      <c r="C11" s="21" t="s">
        <v>441</v>
      </c>
      <c r="D11" s="35" t="s">
        <v>569</v>
      </c>
      <c r="E11" s="20" t="s">
        <v>497</v>
      </c>
      <c r="F11" s="18" t="s">
        <v>570</v>
      </c>
      <c r="G11" s="20" t="s">
        <v>579</v>
      </c>
    </row>
    <row r="12" spans="1:7" ht="15" customHeight="1" x14ac:dyDescent="0.35">
      <c r="A12" s="18">
        <v>8</v>
      </c>
      <c r="B12" s="19" t="s">
        <v>495</v>
      </c>
      <c r="C12" s="21" t="s">
        <v>443</v>
      </c>
      <c r="D12" s="35" t="s">
        <v>569</v>
      </c>
      <c r="E12" s="20" t="s">
        <v>497</v>
      </c>
      <c r="F12" s="18" t="s">
        <v>570</v>
      </c>
      <c r="G12" s="20" t="s">
        <v>580</v>
      </c>
    </row>
    <row r="13" spans="1:7" ht="15" customHeight="1" x14ac:dyDescent="0.35">
      <c r="A13" s="18">
        <v>9</v>
      </c>
      <c r="B13" s="19" t="s">
        <v>495</v>
      </c>
      <c r="C13" s="21" t="s">
        <v>444</v>
      </c>
      <c r="D13" s="35" t="s">
        <v>569</v>
      </c>
      <c r="E13" s="20" t="s">
        <v>497</v>
      </c>
      <c r="F13" s="18" t="s">
        <v>570</v>
      </c>
      <c r="G13" s="20" t="s">
        <v>581</v>
      </c>
    </row>
    <row r="14" spans="1:7" ht="15" customHeight="1" x14ac:dyDescent="0.35">
      <c r="A14" s="18">
        <v>10</v>
      </c>
      <c r="B14" s="19" t="s">
        <v>495</v>
      </c>
      <c r="C14" s="21" t="s">
        <v>446</v>
      </c>
      <c r="D14" s="35" t="s">
        <v>569</v>
      </c>
      <c r="E14" s="20" t="s">
        <v>582</v>
      </c>
      <c r="F14" s="18" t="s">
        <v>570</v>
      </c>
      <c r="G14" s="20" t="s">
        <v>583</v>
      </c>
    </row>
    <row r="15" spans="1:7" ht="15" customHeight="1" x14ac:dyDescent="0.35">
      <c r="A15" s="18">
        <v>11</v>
      </c>
      <c r="B15" s="19" t="s">
        <v>495</v>
      </c>
      <c r="C15" s="21" t="s">
        <v>449</v>
      </c>
      <c r="D15" s="35" t="s">
        <v>569</v>
      </c>
      <c r="E15" s="20" t="s">
        <v>497</v>
      </c>
      <c r="F15" s="18" t="s">
        <v>570</v>
      </c>
      <c r="G15" s="20" t="s">
        <v>584</v>
      </c>
    </row>
    <row r="16" spans="1:7" ht="15" customHeight="1" x14ac:dyDescent="0.35">
      <c r="A16" s="18">
        <v>12</v>
      </c>
      <c r="B16" s="19" t="s">
        <v>495</v>
      </c>
      <c r="C16" s="21" t="s">
        <v>452</v>
      </c>
      <c r="D16" s="35" t="s">
        <v>569</v>
      </c>
      <c r="E16" s="20" t="s">
        <v>497</v>
      </c>
      <c r="F16" s="18" t="s">
        <v>570</v>
      </c>
      <c r="G16" s="20" t="s">
        <v>584</v>
      </c>
    </row>
    <row r="17" spans="1:7" ht="15" customHeight="1" x14ac:dyDescent="0.35">
      <c r="A17" s="18">
        <v>13</v>
      </c>
      <c r="B17" s="19" t="s">
        <v>495</v>
      </c>
      <c r="C17" s="21" t="s">
        <v>454</v>
      </c>
      <c r="D17" s="35" t="s">
        <v>569</v>
      </c>
      <c r="E17" s="20" t="s">
        <v>585</v>
      </c>
      <c r="F17" s="18" t="s">
        <v>586</v>
      </c>
      <c r="G17" s="20" t="s">
        <v>587</v>
      </c>
    </row>
    <row r="18" spans="1:7" ht="15" customHeight="1" x14ac:dyDescent="0.35">
      <c r="A18" s="18">
        <v>14</v>
      </c>
      <c r="B18" s="19" t="s">
        <v>495</v>
      </c>
      <c r="C18" s="21" t="s">
        <v>456</v>
      </c>
      <c r="D18" s="35" t="s">
        <v>569</v>
      </c>
      <c r="E18" s="20" t="s">
        <v>497</v>
      </c>
      <c r="F18" s="18" t="s">
        <v>570</v>
      </c>
      <c r="G18" s="20" t="s">
        <v>584</v>
      </c>
    </row>
    <row r="19" spans="1:7" ht="23.25" customHeight="1" x14ac:dyDescent="0.35">
      <c r="A19" s="18">
        <v>15</v>
      </c>
      <c r="B19" s="19" t="s">
        <v>495</v>
      </c>
      <c r="C19" s="21" t="s">
        <v>458</v>
      </c>
      <c r="D19" s="35" t="s">
        <v>569</v>
      </c>
      <c r="E19" s="20" t="s">
        <v>588</v>
      </c>
      <c r="F19" s="18" t="s">
        <v>570</v>
      </c>
      <c r="G19" s="20" t="s">
        <v>589</v>
      </c>
    </row>
    <row r="20" spans="1:7" ht="15" customHeight="1" x14ac:dyDescent="0.35">
      <c r="A20" s="18">
        <v>16</v>
      </c>
      <c r="B20" s="19" t="s">
        <v>495</v>
      </c>
      <c r="C20" s="21" t="s">
        <v>461</v>
      </c>
      <c r="D20" s="35" t="s">
        <v>569</v>
      </c>
      <c r="E20" s="20" t="s">
        <v>497</v>
      </c>
      <c r="F20" s="18" t="s">
        <v>570</v>
      </c>
      <c r="G20" s="20" t="s">
        <v>590</v>
      </c>
    </row>
    <row r="21" spans="1:7" ht="23.25" customHeight="1" x14ac:dyDescent="0.35">
      <c r="A21" s="18">
        <v>17</v>
      </c>
      <c r="B21" s="19" t="s">
        <v>495</v>
      </c>
      <c r="C21" s="21" t="s">
        <v>464</v>
      </c>
      <c r="D21" s="36" t="s">
        <v>591</v>
      </c>
      <c r="E21" s="20" t="s">
        <v>592</v>
      </c>
      <c r="F21" s="18" t="s">
        <v>593</v>
      </c>
      <c r="G21" s="20" t="s">
        <v>594</v>
      </c>
    </row>
    <row r="22" spans="1:7" ht="23.25" customHeight="1" x14ac:dyDescent="0.35">
      <c r="A22" s="18">
        <v>18</v>
      </c>
      <c r="B22" s="19" t="s">
        <v>495</v>
      </c>
      <c r="C22" s="21" t="s">
        <v>467</v>
      </c>
      <c r="D22" s="36" t="s">
        <v>591</v>
      </c>
      <c r="E22" s="20" t="s">
        <v>531</v>
      </c>
      <c r="F22" s="18" t="s">
        <v>593</v>
      </c>
      <c r="G22" s="20" t="s">
        <v>595</v>
      </c>
    </row>
    <row r="23" spans="1:7" ht="15" customHeight="1" x14ac:dyDescent="0.35">
      <c r="A23" s="18">
        <v>19</v>
      </c>
      <c r="B23" s="19" t="s">
        <v>495</v>
      </c>
      <c r="C23" s="21" t="s">
        <v>470</v>
      </c>
      <c r="D23" s="36" t="s">
        <v>591</v>
      </c>
      <c r="E23" s="20" t="s">
        <v>531</v>
      </c>
      <c r="F23" s="18" t="s">
        <v>593</v>
      </c>
      <c r="G23" s="20" t="s">
        <v>596</v>
      </c>
    </row>
    <row r="24" spans="1:7" ht="23.25" customHeight="1" x14ac:dyDescent="0.35">
      <c r="A24" s="18">
        <v>20</v>
      </c>
      <c r="B24" s="19" t="s">
        <v>495</v>
      </c>
      <c r="C24" s="21" t="s">
        <v>59</v>
      </c>
      <c r="D24" s="35" t="s">
        <v>569</v>
      </c>
      <c r="E24" s="20" t="s">
        <v>597</v>
      </c>
      <c r="F24" s="18" t="s">
        <v>570</v>
      </c>
      <c r="G24" s="20" t="s">
        <v>598</v>
      </c>
    </row>
    <row r="25" spans="1:7" ht="15" customHeight="1" x14ac:dyDescent="0.35">
      <c r="A25" s="18">
        <v>21</v>
      </c>
      <c r="B25" s="19" t="s">
        <v>535</v>
      </c>
      <c r="C25" s="21" t="s">
        <v>429</v>
      </c>
      <c r="D25" s="35" t="s">
        <v>569</v>
      </c>
      <c r="E25" s="20" t="s">
        <v>497</v>
      </c>
      <c r="F25" s="18" t="s">
        <v>570</v>
      </c>
      <c r="G25" s="20" t="s">
        <v>599</v>
      </c>
    </row>
    <row r="26" spans="1:7" ht="15" customHeight="1" x14ac:dyDescent="0.35">
      <c r="A26" s="18">
        <v>22</v>
      </c>
      <c r="B26" s="19" t="s">
        <v>535</v>
      </c>
      <c r="C26" s="21" t="s">
        <v>39</v>
      </c>
      <c r="D26" s="35" t="s">
        <v>569</v>
      </c>
      <c r="E26" s="20" t="s">
        <v>497</v>
      </c>
      <c r="F26" s="18" t="s">
        <v>570</v>
      </c>
      <c r="G26" s="20" t="s">
        <v>599</v>
      </c>
    </row>
    <row r="27" spans="1:7" ht="15" customHeight="1" x14ac:dyDescent="0.35">
      <c r="A27" s="18">
        <v>23</v>
      </c>
      <c r="B27" s="19" t="s">
        <v>535</v>
      </c>
      <c r="C27" s="21" t="s">
        <v>432</v>
      </c>
      <c r="D27" s="35" t="s">
        <v>569</v>
      </c>
      <c r="E27" s="20" t="s">
        <v>600</v>
      </c>
      <c r="F27" s="18" t="s">
        <v>570</v>
      </c>
      <c r="G27" s="20" t="s">
        <v>601</v>
      </c>
    </row>
    <row r="28" spans="1:7" ht="15" customHeight="1" x14ac:dyDescent="0.35">
      <c r="A28" s="18">
        <v>24</v>
      </c>
      <c r="B28" s="19" t="s">
        <v>535</v>
      </c>
      <c r="C28" s="21" t="s">
        <v>434</v>
      </c>
      <c r="D28" s="35" t="s">
        <v>569</v>
      </c>
      <c r="E28" s="20" t="s">
        <v>497</v>
      </c>
      <c r="F28" s="18" t="s">
        <v>570</v>
      </c>
      <c r="G28" s="20" t="s">
        <v>599</v>
      </c>
    </row>
    <row r="29" spans="1:7" ht="23.25" customHeight="1" x14ac:dyDescent="0.35">
      <c r="A29" s="18">
        <v>25</v>
      </c>
      <c r="B29" s="19" t="s">
        <v>535</v>
      </c>
      <c r="C29" s="21" t="s">
        <v>476</v>
      </c>
      <c r="D29" s="35" t="s">
        <v>569</v>
      </c>
      <c r="E29" s="20" t="s">
        <v>540</v>
      </c>
      <c r="F29" s="18" t="s">
        <v>602</v>
      </c>
      <c r="G29" s="20" t="s">
        <v>603</v>
      </c>
    </row>
    <row r="30" spans="1:7" ht="15" customHeight="1" x14ac:dyDescent="0.35">
      <c r="A30" s="18">
        <v>26</v>
      </c>
      <c r="B30" s="19" t="s">
        <v>535</v>
      </c>
      <c r="C30" s="21" t="s">
        <v>479</v>
      </c>
      <c r="D30" s="37" t="s">
        <v>604</v>
      </c>
      <c r="E30" s="20" t="s">
        <v>605</v>
      </c>
      <c r="F30" s="18" t="s">
        <v>570</v>
      </c>
      <c r="G30" s="20" t="s">
        <v>606</v>
      </c>
    </row>
    <row r="31" spans="1:7" ht="15" customHeight="1" x14ac:dyDescent="0.35">
      <c r="A31" s="18">
        <v>27</v>
      </c>
      <c r="B31" s="19" t="s">
        <v>535</v>
      </c>
      <c r="C31" s="21" t="s">
        <v>481</v>
      </c>
      <c r="D31" s="35" t="s">
        <v>569</v>
      </c>
      <c r="E31" s="20" t="s">
        <v>497</v>
      </c>
      <c r="F31" s="18" t="s">
        <v>497</v>
      </c>
      <c r="G31" s="20" t="s">
        <v>607</v>
      </c>
    </row>
    <row r="32" spans="1:7" ht="15" customHeight="1" x14ac:dyDescent="0.35">
      <c r="A32" s="18">
        <v>28</v>
      </c>
      <c r="B32" s="19" t="s">
        <v>535</v>
      </c>
      <c r="C32" s="21" t="s">
        <v>483</v>
      </c>
      <c r="D32" s="37" t="s">
        <v>604</v>
      </c>
      <c r="E32" s="20" t="s">
        <v>605</v>
      </c>
      <c r="F32" s="18" t="s">
        <v>570</v>
      </c>
      <c r="G32" s="20" t="s">
        <v>608</v>
      </c>
    </row>
    <row r="33" spans="1:7" ht="23.25" customHeight="1" x14ac:dyDescent="0.35">
      <c r="A33" s="18">
        <v>29</v>
      </c>
      <c r="B33" s="19" t="s">
        <v>535</v>
      </c>
      <c r="C33" s="21" t="s">
        <v>369</v>
      </c>
      <c r="D33" s="37" t="s">
        <v>604</v>
      </c>
      <c r="E33" s="20" t="s">
        <v>605</v>
      </c>
      <c r="F33" s="18" t="s">
        <v>609</v>
      </c>
      <c r="G33" s="20" t="s">
        <v>610</v>
      </c>
    </row>
    <row r="34" spans="1:7" ht="15" customHeight="1" x14ac:dyDescent="0.35">
      <c r="A34" s="18">
        <v>30</v>
      </c>
      <c r="B34" s="19" t="s">
        <v>535</v>
      </c>
      <c r="C34" s="21" t="s">
        <v>71</v>
      </c>
      <c r="D34" s="35" t="s">
        <v>569</v>
      </c>
      <c r="E34" s="20" t="s">
        <v>497</v>
      </c>
      <c r="F34" s="18" t="s">
        <v>570</v>
      </c>
      <c r="G34" s="20" t="s">
        <v>611</v>
      </c>
    </row>
    <row r="35" spans="1:7" ht="15" customHeight="1" x14ac:dyDescent="0.35">
      <c r="A35" s="18">
        <v>31</v>
      </c>
      <c r="B35" s="19" t="s">
        <v>535</v>
      </c>
      <c r="C35" s="21" t="s">
        <v>73</v>
      </c>
      <c r="D35" s="35" t="s">
        <v>569</v>
      </c>
      <c r="E35" s="20" t="s">
        <v>497</v>
      </c>
      <c r="F35" s="18" t="s">
        <v>570</v>
      </c>
      <c r="G35" s="20" t="s">
        <v>584</v>
      </c>
    </row>
    <row r="36" spans="1:7" ht="15" customHeight="1" x14ac:dyDescent="0.35">
      <c r="A36" s="18">
        <v>32</v>
      </c>
      <c r="B36" s="19" t="s">
        <v>535</v>
      </c>
      <c r="C36" s="21" t="s">
        <v>75</v>
      </c>
      <c r="D36" s="37" t="s">
        <v>604</v>
      </c>
      <c r="E36" s="20" t="s">
        <v>612</v>
      </c>
      <c r="F36" s="18" t="s">
        <v>570</v>
      </c>
      <c r="G36" s="20" t="s">
        <v>613</v>
      </c>
    </row>
    <row r="37" spans="1:7" ht="15" customHeight="1" x14ac:dyDescent="0.35">
      <c r="A37" s="18">
        <v>33</v>
      </c>
      <c r="B37" s="19" t="s">
        <v>535</v>
      </c>
      <c r="C37" s="21" t="s">
        <v>77</v>
      </c>
      <c r="D37" s="35" t="s">
        <v>569</v>
      </c>
      <c r="E37" s="20" t="s">
        <v>497</v>
      </c>
      <c r="F37" s="18" t="s">
        <v>570</v>
      </c>
      <c r="G37" s="20" t="s">
        <v>584</v>
      </c>
    </row>
    <row r="39" spans="1:7" ht="15" customHeight="1" x14ac:dyDescent="0.35">
      <c r="B39" s="28" t="s">
        <v>614</v>
      </c>
    </row>
    <row r="40" spans="1:7" ht="15" customHeight="1" x14ac:dyDescent="0.35">
      <c r="B40" s="38" t="s">
        <v>569</v>
      </c>
      <c r="C40" s="30">
        <f>COUNTIF($D$5:$D$37,B40)</f>
        <v>26</v>
      </c>
    </row>
    <row r="41" spans="1:7" ht="15" customHeight="1" x14ac:dyDescent="0.35">
      <c r="B41" s="29" t="s">
        <v>604</v>
      </c>
      <c r="C41" s="30">
        <f>COUNTIF($D$5:$D$37,B41)</f>
        <v>4</v>
      </c>
    </row>
    <row r="42" spans="1:7" ht="15" customHeight="1" x14ac:dyDescent="0.35">
      <c r="B42" s="31" t="s">
        <v>591</v>
      </c>
      <c r="C42" s="30">
        <f>COUNTIF($D$5:$D$37,B42)</f>
        <v>3</v>
      </c>
    </row>
    <row r="43" spans="1:7" ht="15" customHeight="1" x14ac:dyDescent="0.35">
      <c r="B43" s="39" t="s">
        <v>615</v>
      </c>
      <c r="C43" s="30">
        <f>COUNTIF($D$5:$D$37,B43)</f>
        <v>0</v>
      </c>
    </row>
    <row r="44" spans="1:7" ht="15" customHeight="1" x14ac:dyDescent="0.35">
      <c r="B44" s="10" t="s">
        <v>551</v>
      </c>
      <c r="C44" s="34">
        <f>SUM(C40:C43)</f>
        <v>33</v>
      </c>
    </row>
    <row r="46" spans="1:7" ht="15" customHeight="1" x14ac:dyDescent="0.35">
      <c r="B46" s="28" t="s">
        <v>616</v>
      </c>
    </row>
    <row r="47" spans="1:7" ht="15" customHeight="1" x14ac:dyDescent="0.35">
      <c r="B47" s="12" t="s">
        <v>617</v>
      </c>
      <c r="C47" s="12" t="s">
        <v>618</v>
      </c>
      <c r="D47" s="12" t="s">
        <v>619</v>
      </c>
      <c r="E47" s="12" t="s">
        <v>620</v>
      </c>
    </row>
    <row r="48" spans="1:7" ht="57.75" customHeight="1" x14ac:dyDescent="0.35">
      <c r="B48" s="40" t="s">
        <v>621</v>
      </c>
      <c r="C48" s="41" t="s">
        <v>622</v>
      </c>
      <c r="D48" s="41" t="s">
        <v>623</v>
      </c>
      <c r="E48" s="41" t="s">
        <v>624</v>
      </c>
    </row>
    <row r="49" spans="2:7" ht="57.75" customHeight="1" x14ac:dyDescent="0.35">
      <c r="B49" s="40" t="s">
        <v>625</v>
      </c>
      <c r="C49" s="41" t="s">
        <v>626</v>
      </c>
      <c r="D49" s="41" t="s">
        <v>627</v>
      </c>
      <c r="E49" s="41" t="s">
        <v>628</v>
      </c>
    </row>
    <row r="50" spans="2:7" ht="57.75" customHeight="1" x14ac:dyDescent="0.35">
      <c r="B50" s="40" t="s">
        <v>629</v>
      </c>
      <c r="C50" s="41" t="s">
        <v>630</v>
      </c>
      <c r="D50" s="41" t="s">
        <v>631</v>
      </c>
      <c r="E50" s="41" t="s">
        <v>632</v>
      </c>
    </row>
    <row r="51" spans="2:7" ht="57.75" customHeight="1" x14ac:dyDescent="0.35">
      <c r="B51" s="40" t="s">
        <v>633</v>
      </c>
      <c r="C51" s="41" t="s">
        <v>634</v>
      </c>
      <c r="D51" s="41" t="s">
        <v>635</v>
      </c>
      <c r="E51" s="41" t="s">
        <v>636</v>
      </c>
    </row>
    <row r="52" spans="2:7" ht="57.75" customHeight="1" x14ac:dyDescent="0.35">
      <c r="B52" s="40" t="s">
        <v>637</v>
      </c>
      <c r="C52" s="41" t="s">
        <v>638</v>
      </c>
      <c r="D52" s="41" t="s">
        <v>639</v>
      </c>
      <c r="E52" s="41" t="s">
        <v>640</v>
      </c>
    </row>
    <row r="54" spans="2:7" ht="15" customHeight="1" x14ac:dyDescent="0.35">
      <c r="B54" s="7" t="s">
        <v>641</v>
      </c>
    </row>
    <row r="55" spans="2:7" ht="42" customHeight="1" x14ac:dyDescent="0.35">
      <c r="B55" s="10" t="s">
        <v>642</v>
      </c>
      <c r="C55" s="2" t="s">
        <v>643</v>
      </c>
      <c r="D55" s="2"/>
      <c r="E55" s="2"/>
      <c r="F55" s="2"/>
      <c r="G55" s="2"/>
    </row>
    <row r="56" spans="2:7" ht="42" customHeight="1" x14ac:dyDescent="0.35">
      <c r="B56" s="10" t="s">
        <v>644</v>
      </c>
      <c r="C56" s="2" t="s">
        <v>645</v>
      </c>
      <c r="D56" s="2"/>
      <c r="E56" s="2"/>
      <c r="F56" s="2"/>
      <c r="G56" s="2"/>
    </row>
    <row r="57" spans="2:7" ht="42" customHeight="1" x14ac:dyDescent="0.35">
      <c r="B57" s="10" t="s">
        <v>646</v>
      </c>
      <c r="C57" s="2" t="s">
        <v>647</v>
      </c>
      <c r="D57" s="2"/>
      <c r="E57" s="2"/>
      <c r="F57" s="2"/>
      <c r="G57" s="2"/>
    </row>
    <row r="58" spans="2:7" ht="42" customHeight="1" x14ac:dyDescent="0.35">
      <c r="B58" s="10" t="s">
        <v>648</v>
      </c>
      <c r="C58" s="2" t="s">
        <v>649</v>
      </c>
      <c r="D58" s="2"/>
      <c r="E58" s="2"/>
      <c r="F58" s="2"/>
      <c r="G58" s="2"/>
    </row>
    <row r="59" spans="2:7" ht="42" customHeight="1" x14ac:dyDescent="0.35">
      <c r="B59" s="10" t="s">
        <v>650</v>
      </c>
      <c r="C59" s="2" t="s">
        <v>651</v>
      </c>
      <c r="D59" s="2"/>
      <c r="E59" s="2"/>
      <c r="F59" s="2"/>
      <c r="G59" s="2"/>
    </row>
  </sheetData>
  <autoFilter ref="A4:G37" xr:uid="{00000000-0009-0000-0000-000005000000}"/>
  <mergeCells count="6">
    <mergeCell ref="C59:G59"/>
    <mergeCell ref="A2:F2"/>
    <mergeCell ref="C55:G55"/>
    <mergeCell ref="C56:G56"/>
    <mergeCell ref="C57:G57"/>
    <mergeCell ref="C58:G58"/>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00000"/>
  </sheetPr>
  <dimension ref="A1:J390"/>
  <sheetViews>
    <sheetView zoomScaleNormal="100" workbookViewId="0">
      <pane ySplit="4" topLeftCell="A145" activePane="bottomLeft" state="frozen"/>
      <selection pane="bottomLeft" activeCell="G124" sqref="G124:G128"/>
    </sheetView>
  </sheetViews>
  <sheetFormatPr baseColWidth="10" defaultColWidth="8.6328125" defaultRowHeight="14.5" x14ac:dyDescent="0.35"/>
  <cols>
    <col min="1" max="1" width="5" customWidth="1"/>
    <col min="2" max="2" width="19" customWidth="1"/>
    <col min="3" max="3" width="30" customWidth="1"/>
    <col min="4" max="4" width="26" customWidth="1"/>
    <col min="5" max="5" width="22" customWidth="1"/>
    <col min="6" max="6" width="6" customWidth="1"/>
    <col min="7" max="7" width="20" customWidth="1"/>
    <col min="8" max="8" width="12" customWidth="1"/>
    <col min="9" max="9" width="82" customWidth="1"/>
  </cols>
  <sheetData>
    <row r="1" spans="1:9" ht="15.75" customHeight="1" x14ac:dyDescent="0.35">
      <c r="A1" s="16" t="s">
        <v>652</v>
      </c>
    </row>
    <row r="2" spans="1:9" ht="15" customHeight="1" x14ac:dyDescent="0.35">
      <c r="A2" s="1" t="s">
        <v>653</v>
      </c>
      <c r="B2" s="1"/>
      <c r="C2" s="1"/>
      <c r="D2" s="1"/>
      <c r="E2" s="1"/>
      <c r="F2" s="1"/>
      <c r="G2" s="1"/>
      <c r="H2" s="1"/>
    </row>
    <row r="4" spans="1:9" ht="15" customHeight="1" x14ac:dyDescent="0.35">
      <c r="A4" s="17" t="s">
        <v>23</v>
      </c>
      <c r="B4" s="17" t="s">
        <v>12</v>
      </c>
      <c r="C4" s="17" t="s">
        <v>654</v>
      </c>
      <c r="D4" s="17" t="s">
        <v>28</v>
      </c>
      <c r="E4" s="17" t="s">
        <v>29</v>
      </c>
      <c r="F4" s="17" t="s">
        <v>30</v>
      </c>
      <c r="G4" s="17" t="s">
        <v>655</v>
      </c>
      <c r="H4" s="17" t="s">
        <v>656</v>
      </c>
      <c r="I4" s="17" t="s">
        <v>657</v>
      </c>
    </row>
    <row r="5" spans="1:9" ht="15" customHeight="1" x14ac:dyDescent="0.35">
      <c r="A5" s="18">
        <v>1</v>
      </c>
      <c r="B5" s="19" t="s">
        <v>15</v>
      </c>
      <c r="C5" s="19" t="s">
        <v>33</v>
      </c>
      <c r="D5" s="21" t="s">
        <v>35</v>
      </c>
      <c r="E5" s="19" t="s">
        <v>36</v>
      </c>
      <c r="F5" s="18" t="s">
        <v>37</v>
      </c>
      <c r="G5" s="42" t="s">
        <v>496</v>
      </c>
      <c r="H5" s="18" t="s">
        <v>497</v>
      </c>
      <c r="I5" s="20" t="s">
        <v>658</v>
      </c>
    </row>
    <row r="6" spans="1:9" ht="15" customHeight="1" x14ac:dyDescent="0.35">
      <c r="A6" s="18">
        <v>2</v>
      </c>
      <c r="B6" s="19" t="s">
        <v>15</v>
      </c>
      <c r="C6" s="19" t="s">
        <v>33</v>
      </c>
      <c r="D6" s="21" t="s">
        <v>39</v>
      </c>
      <c r="E6" s="19" t="s">
        <v>40</v>
      </c>
      <c r="F6" s="18" t="s">
        <v>37</v>
      </c>
      <c r="G6" s="42" t="s">
        <v>496</v>
      </c>
      <c r="H6" s="18" t="s">
        <v>497</v>
      </c>
      <c r="I6" s="20" t="s">
        <v>658</v>
      </c>
    </row>
    <row r="7" spans="1:9" ht="15" customHeight="1" x14ac:dyDescent="0.35">
      <c r="A7" s="18">
        <v>3</v>
      </c>
      <c r="B7" s="19" t="s">
        <v>15</v>
      </c>
      <c r="C7" s="19" t="s">
        <v>33</v>
      </c>
      <c r="D7" s="21" t="s">
        <v>42</v>
      </c>
      <c r="E7" s="19" t="s">
        <v>43</v>
      </c>
      <c r="F7" s="18" t="s">
        <v>37</v>
      </c>
      <c r="G7" s="37" t="s">
        <v>503</v>
      </c>
      <c r="H7" s="18" t="s">
        <v>659</v>
      </c>
      <c r="I7" s="20" t="s">
        <v>660</v>
      </c>
    </row>
    <row r="8" spans="1:9" ht="15" customHeight="1" x14ac:dyDescent="0.35">
      <c r="A8" s="18">
        <v>4</v>
      </c>
      <c r="B8" s="19" t="s">
        <v>15</v>
      </c>
      <c r="C8" s="19" t="s">
        <v>33</v>
      </c>
      <c r="D8" s="21" t="s">
        <v>45</v>
      </c>
      <c r="E8" s="19" t="s">
        <v>43</v>
      </c>
      <c r="F8" s="18" t="s">
        <v>46</v>
      </c>
      <c r="G8" s="37" t="s">
        <v>503</v>
      </c>
      <c r="H8" s="18" t="s">
        <v>661</v>
      </c>
      <c r="I8" s="20" t="s">
        <v>662</v>
      </c>
    </row>
    <row r="9" spans="1:9" ht="15" customHeight="1" x14ac:dyDescent="0.35">
      <c r="A9" s="18">
        <v>5</v>
      </c>
      <c r="B9" s="19" t="s">
        <v>15</v>
      </c>
      <c r="C9" s="19" t="s">
        <v>33</v>
      </c>
      <c r="D9" s="21" t="s">
        <v>49</v>
      </c>
      <c r="E9" s="19" t="s">
        <v>43</v>
      </c>
      <c r="F9" s="18" t="s">
        <v>50</v>
      </c>
      <c r="G9" s="37" t="s">
        <v>503</v>
      </c>
      <c r="H9" s="18" t="s">
        <v>659</v>
      </c>
      <c r="I9" s="20" t="s">
        <v>663</v>
      </c>
    </row>
    <row r="10" spans="1:9" ht="23.25" customHeight="1" x14ac:dyDescent="0.35">
      <c r="A10" s="18">
        <v>6</v>
      </c>
      <c r="B10" s="19" t="s">
        <v>15</v>
      </c>
      <c r="C10" s="19" t="s">
        <v>33</v>
      </c>
      <c r="D10" s="21" t="s">
        <v>52</v>
      </c>
      <c r="E10" s="19" t="s">
        <v>53</v>
      </c>
      <c r="F10" s="18" t="s">
        <v>50</v>
      </c>
      <c r="G10" s="37" t="s">
        <v>503</v>
      </c>
      <c r="H10" s="18" t="s">
        <v>664</v>
      </c>
      <c r="I10" s="20" t="s">
        <v>665</v>
      </c>
    </row>
    <row r="11" spans="1:9" ht="15" customHeight="1" x14ac:dyDescent="0.35">
      <c r="A11" s="18">
        <v>7</v>
      </c>
      <c r="B11" s="19" t="s">
        <v>15</v>
      </c>
      <c r="C11" s="19" t="s">
        <v>33</v>
      </c>
      <c r="D11" s="21" t="s">
        <v>55</v>
      </c>
      <c r="E11" s="19" t="s">
        <v>56</v>
      </c>
      <c r="F11" s="18" t="s">
        <v>57</v>
      </c>
      <c r="G11" s="36" t="s">
        <v>593</v>
      </c>
      <c r="H11" s="18" t="s">
        <v>666</v>
      </c>
      <c r="I11" s="20" t="s">
        <v>667</v>
      </c>
    </row>
    <row r="12" spans="1:9" ht="15" customHeight="1" x14ac:dyDescent="0.35">
      <c r="A12" s="18">
        <v>8</v>
      </c>
      <c r="B12" s="19" t="s">
        <v>15</v>
      </c>
      <c r="C12" s="19" t="s">
        <v>33</v>
      </c>
      <c r="D12" s="21" t="s">
        <v>59</v>
      </c>
      <c r="E12" s="19" t="s">
        <v>56</v>
      </c>
      <c r="F12" s="18" t="s">
        <v>57</v>
      </c>
      <c r="G12" s="42" t="s">
        <v>496</v>
      </c>
      <c r="H12" s="18" t="s">
        <v>497</v>
      </c>
      <c r="I12" s="20" t="s">
        <v>658</v>
      </c>
    </row>
    <row r="13" spans="1:9" ht="15" customHeight="1" x14ac:dyDescent="0.35">
      <c r="A13" s="18">
        <v>9</v>
      </c>
      <c r="B13" s="19" t="s">
        <v>15</v>
      </c>
      <c r="C13" s="19" t="s">
        <v>33</v>
      </c>
      <c r="D13" s="21" t="s">
        <v>62</v>
      </c>
      <c r="E13" s="19" t="s">
        <v>36</v>
      </c>
      <c r="F13" s="18" t="s">
        <v>37</v>
      </c>
      <c r="G13" s="42" t="s">
        <v>496</v>
      </c>
      <c r="H13" s="18" t="s">
        <v>497</v>
      </c>
      <c r="I13" s="20" t="s">
        <v>658</v>
      </c>
    </row>
    <row r="14" spans="1:9" ht="15" customHeight="1" x14ac:dyDescent="0.35">
      <c r="A14" s="18">
        <v>10</v>
      </c>
      <c r="B14" s="19" t="s">
        <v>15</v>
      </c>
      <c r="C14" s="19" t="s">
        <v>33</v>
      </c>
      <c r="D14" s="21" t="s">
        <v>64</v>
      </c>
      <c r="E14" s="19" t="s">
        <v>40</v>
      </c>
      <c r="F14" s="18" t="s">
        <v>37</v>
      </c>
      <c r="G14" s="42" t="s">
        <v>496</v>
      </c>
      <c r="H14" s="18" t="s">
        <v>497</v>
      </c>
      <c r="I14" s="20" t="s">
        <v>658</v>
      </c>
    </row>
    <row r="15" spans="1:9" ht="15" customHeight="1" x14ac:dyDescent="0.35">
      <c r="A15" s="18">
        <v>11</v>
      </c>
      <c r="B15" s="19" t="s">
        <v>15</v>
      </c>
      <c r="C15" s="19" t="s">
        <v>33</v>
      </c>
      <c r="D15" s="21" t="s">
        <v>66</v>
      </c>
      <c r="E15" s="19" t="s">
        <v>40</v>
      </c>
      <c r="F15" s="18" t="s">
        <v>37</v>
      </c>
      <c r="G15" s="37" t="s">
        <v>503</v>
      </c>
      <c r="H15" s="18" t="s">
        <v>659</v>
      </c>
      <c r="I15" s="20" t="s">
        <v>668</v>
      </c>
    </row>
    <row r="16" spans="1:9" ht="15" customHeight="1" x14ac:dyDescent="0.35">
      <c r="A16" s="18">
        <v>12</v>
      </c>
      <c r="B16" s="19" t="s">
        <v>15</v>
      </c>
      <c r="C16" s="19" t="s">
        <v>33</v>
      </c>
      <c r="D16" s="21" t="s">
        <v>68</v>
      </c>
      <c r="E16" s="19" t="s">
        <v>40</v>
      </c>
      <c r="F16" s="18" t="s">
        <v>37</v>
      </c>
      <c r="G16" s="42" t="s">
        <v>496</v>
      </c>
      <c r="H16" s="18" t="s">
        <v>497</v>
      </c>
      <c r="I16" s="20" t="s">
        <v>658</v>
      </c>
    </row>
    <row r="17" spans="1:9" ht="15" customHeight="1" x14ac:dyDescent="0.35">
      <c r="A17" s="18">
        <v>13</v>
      </c>
      <c r="B17" s="19" t="s">
        <v>15</v>
      </c>
      <c r="C17" s="19" t="s">
        <v>33</v>
      </c>
      <c r="D17" s="21" t="s">
        <v>71</v>
      </c>
      <c r="E17" s="19" t="s">
        <v>36</v>
      </c>
      <c r="F17" s="18" t="s">
        <v>37</v>
      </c>
      <c r="G17" s="42" t="s">
        <v>496</v>
      </c>
      <c r="H17" s="18" t="s">
        <v>497</v>
      </c>
      <c r="I17" s="20" t="s">
        <v>658</v>
      </c>
    </row>
    <row r="18" spans="1:9" ht="15" customHeight="1" x14ac:dyDescent="0.35">
      <c r="A18" s="18">
        <v>14</v>
      </c>
      <c r="B18" s="19" t="s">
        <v>15</v>
      </c>
      <c r="C18" s="19" t="s">
        <v>33</v>
      </c>
      <c r="D18" s="21" t="s">
        <v>73</v>
      </c>
      <c r="E18" s="19" t="s">
        <v>40</v>
      </c>
      <c r="F18" s="18" t="s">
        <v>37</v>
      </c>
      <c r="G18" s="42" t="s">
        <v>496</v>
      </c>
      <c r="H18" s="18" t="s">
        <v>497</v>
      </c>
      <c r="I18" s="20" t="s">
        <v>658</v>
      </c>
    </row>
    <row r="19" spans="1:9" ht="15" customHeight="1" x14ac:dyDescent="0.35">
      <c r="A19" s="18">
        <v>15</v>
      </c>
      <c r="B19" s="19" t="s">
        <v>15</v>
      </c>
      <c r="C19" s="19" t="s">
        <v>33</v>
      </c>
      <c r="D19" s="21" t="s">
        <v>75</v>
      </c>
      <c r="E19" s="19" t="s">
        <v>40</v>
      </c>
      <c r="F19" s="18" t="s">
        <v>37</v>
      </c>
      <c r="G19" s="37" t="s">
        <v>503</v>
      </c>
      <c r="H19" s="18" t="s">
        <v>661</v>
      </c>
      <c r="I19" s="20" t="s">
        <v>669</v>
      </c>
    </row>
    <row r="20" spans="1:9" ht="15" customHeight="1" x14ac:dyDescent="0.35">
      <c r="A20" s="18">
        <v>16</v>
      </c>
      <c r="B20" s="19" t="s">
        <v>15</v>
      </c>
      <c r="C20" s="19" t="s">
        <v>33</v>
      </c>
      <c r="D20" s="21" t="s">
        <v>77</v>
      </c>
      <c r="E20" s="19" t="s">
        <v>40</v>
      </c>
      <c r="F20" s="18" t="s">
        <v>37</v>
      </c>
      <c r="G20" s="42" t="s">
        <v>496</v>
      </c>
      <c r="H20" s="18" t="s">
        <v>497</v>
      </c>
      <c r="I20" s="20" t="s">
        <v>658</v>
      </c>
    </row>
    <row r="21" spans="1:9" ht="23.25" customHeight="1" x14ac:dyDescent="0.35">
      <c r="A21" s="18">
        <v>17</v>
      </c>
      <c r="B21" s="19" t="s">
        <v>15</v>
      </c>
      <c r="C21" s="19" t="s">
        <v>33</v>
      </c>
      <c r="D21" s="21" t="s">
        <v>79</v>
      </c>
      <c r="E21" s="19" t="s">
        <v>80</v>
      </c>
      <c r="F21" s="18" t="s">
        <v>50</v>
      </c>
      <c r="G21" s="43" t="s">
        <v>670</v>
      </c>
      <c r="H21" s="18" t="s">
        <v>671</v>
      </c>
      <c r="I21" s="20" t="s">
        <v>672</v>
      </c>
    </row>
    <row r="22" spans="1:9" ht="15" customHeight="1" x14ac:dyDescent="0.35">
      <c r="A22" s="18">
        <v>18</v>
      </c>
      <c r="B22" s="19" t="s">
        <v>15</v>
      </c>
      <c r="C22" s="19" t="s">
        <v>33</v>
      </c>
      <c r="D22" s="21" t="s">
        <v>82</v>
      </c>
      <c r="E22" s="19" t="s">
        <v>80</v>
      </c>
      <c r="F22" s="18" t="s">
        <v>50</v>
      </c>
      <c r="G22" s="36" t="s">
        <v>593</v>
      </c>
      <c r="H22" s="18" t="s">
        <v>671</v>
      </c>
      <c r="I22" s="20" t="s">
        <v>673</v>
      </c>
    </row>
    <row r="23" spans="1:9" ht="15" customHeight="1" x14ac:dyDescent="0.35">
      <c r="A23" s="18">
        <v>19</v>
      </c>
      <c r="B23" s="19" t="s">
        <v>15</v>
      </c>
      <c r="C23" s="19" t="s">
        <v>33</v>
      </c>
      <c r="D23" s="21" t="s">
        <v>83</v>
      </c>
      <c r="E23" s="19" t="s">
        <v>80</v>
      </c>
      <c r="F23" s="18" t="s">
        <v>50</v>
      </c>
      <c r="G23" s="42" t="s">
        <v>496</v>
      </c>
      <c r="H23" s="18" t="s">
        <v>497</v>
      </c>
      <c r="I23" s="20" t="s">
        <v>674</v>
      </c>
    </row>
    <row r="24" spans="1:9" ht="23.25" customHeight="1" x14ac:dyDescent="0.35">
      <c r="A24" s="18">
        <v>20</v>
      </c>
      <c r="B24" s="19" t="s">
        <v>15</v>
      </c>
      <c r="C24" s="19" t="s">
        <v>33</v>
      </c>
      <c r="D24" s="21" t="s">
        <v>85</v>
      </c>
      <c r="E24" s="19" t="s">
        <v>80</v>
      </c>
      <c r="F24" s="18" t="s">
        <v>50</v>
      </c>
      <c r="G24" s="43" t="s">
        <v>670</v>
      </c>
      <c r="H24" s="18" t="s">
        <v>671</v>
      </c>
      <c r="I24" s="20" t="s">
        <v>672</v>
      </c>
    </row>
    <row r="25" spans="1:9" ht="15" customHeight="1" x14ac:dyDescent="0.35">
      <c r="A25" s="18">
        <v>21</v>
      </c>
      <c r="B25" s="19" t="s">
        <v>15</v>
      </c>
      <c r="C25" s="19" t="s">
        <v>33</v>
      </c>
      <c r="D25" s="21" t="s">
        <v>87</v>
      </c>
      <c r="E25" s="19" t="s">
        <v>80</v>
      </c>
      <c r="F25" s="18" t="s">
        <v>50</v>
      </c>
      <c r="G25" s="36" t="s">
        <v>593</v>
      </c>
      <c r="H25" s="18" t="s">
        <v>671</v>
      </c>
      <c r="I25" s="20" t="s">
        <v>673</v>
      </c>
    </row>
    <row r="26" spans="1:9" ht="15" customHeight="1" x14ac:dyDescent="0.35">
      <c r="A26" s="18">
        <v>22</v>
      </c>
      <c r="B26" s="19" t="s">
        <v>15</v>
      </c>
      <c r="C26" s="19" t="s">
        <v>33</v>
      </c>
      <c r="D26" s="21" t="s">
        <v>89</v>
      </c>
      <c r="E26" s="19" t="s">
        <v>80</v>
      </c>
      <c r="F26" s="18" t="s">
        <v>50</v>
      </c>
      <c r="G26" s="42" t="s">
        <v>496</v>
      </c>
      <c r="H26" s="18" t="s">
        <v>497</v>
      </c>
      <c r="I26" s="20" t="s">
        <v>674</v>
      </c>
    </row>
    <row r="27" spans="1:9" ht="23.25" customHeight="1" x14ac:dyDescent="0.35">
      <c r="A27" s="18">
        <v>23</v>
      </c>
      <c r="B27" s="19" t="s">
        <v>15</v>
      </c>
      <c r="C27" s="19" t="s">
        <v>33</v>
      </c>
      <c r="D27" s="21" t="s">
        <v>91</v>
      </c>
      <c r="E27" s="19" t="s">
        <v>92</v>
      </c>
      <c r="F27" s="18" t="s">
        <v>50</v>
      </c>
      <c r="G27" s="36" t="s">
        <v>593</v>
      </c>
      <c r="H27" s="18" t="s">
        <v>671</v>
      </c>
      <c r="I27" s="20" t="s">
        <v>675</v>
      </c>
    </row>
    <row r="28" spans="1:9" ht="23.25" customHeight="1" x14ac:dyDescent="0.35">
      <c r="A28" s="18">
        <v>24</v>
      </c>
      <c r="B28" s="19" t="s">
        <v>15</v>
      </c>
      <c r="C28" s="19" t="s">
        <v>33</v>
      </c>
      <c r="D28" s="21" t="s">
        <v>94</v>
      </c>
      <c r="E28" s="19" t="s">
        <v>80</v>
      </c>
      <c r="F28" s="18" t="s">
        <v>50</v>
      </c>
      <c r="G28" s="36" t="s">
        <v>593</v>
      </c>
      <c r="H28" s="18" t="s">
        <v>671</v>
      </c>
      <c r="I28" s="20" t="s">
        <v>675</v>
      </c>
    </row>
    <row r="29" spans="1:9" ht="23.25" customHeight="1" x14ac:dyDescent="0.35">
      <c r="A29" s="18">
        <v>25</v>
      </c>
      <c r="B29" s="19" t="s">
        <v>15</v>
      </c>
      <c r="C29" s="19" t="s">
        <v>33</v>
      </c>
      <c r="D29" s="21" t="s">
        <v>96</v>
      </c>
      <c r="E29" s="19" t="s">
        <v>92</v>
      </c>
      <c r="F29" s="18" t="s">
        <v>50</v>
      </c>
      <c r="G29" s="36" t="s">
        <v>593</v>
      </c>
      <c r="H29" s="18" t="s">
        <v>671</v>
      </c>
      <c r="I29" s="20" t="s">
        <v>675</v>
      </c>
    </row>
    <row r="30" spans="1:9" ht="23.25" customHeight="1" x14ac:dyDescent="0.35">
      <c r="A30" s="18">
        <v>26</v>
      </c>
      <c r="B30" s="19" t="s">
        <v>15</v>
      </c>
      <c r="C30" s="19" t="s">
        <v>33</v>
      </c>
      <c r="D30" s="21" t="s">
        <v>98</v>
      </c>
      <c r="E30" s="19" t="s">
        <v>80</v>
      </c>
      <c r="F30" s="18" t="s">
        <v>50</v>
      </c>
      <c r="G30" s="36" t="s">
        <v>593</v>
      </c>
      <c r="H30" s="18" t="s">
        <v>671</v>
      </c>
      <c r="I30" s="20" t="s">
        <v>675</v>
      </c>
    </row>
    <row r="31" spans="1:9" ht="23.25" customHeight="1" x14ac:dyDescent="0.35">
      <c r="A31" s="18">
        <v>27</v>
      </c>
      <c r="B31" s="19" t="s">
        <v>15</v>
      </c>
      <c r="C31" s="19" t="s">
        <v>33</v>
      </c>
      <c r="D31" s="21" t="s">
        <v>100</v>
      </c>
      <c r="E31" s="19" t="s">
        <v>92</v>
      </c>
      <c r="F31" s="18" t="s">
        <v>50</v>
      </c>
      <c r="G31" s="36" t="s">
        <v>593</v>
      </c>
      <c r="H31" s="18" t="s">
        <v>671</v>
      </c>
      <c r="I31" s="20" t="s">
        <v>675</v>
      </c>
    </row>
    <row r="32" spans="1:9" ht="23.25" customHeight="1" x14ac:dyDescent="0.35">
      <c r="A32" s="18">
        <v>28</v>
      </c>
      <c r="B32" s="19" t="s">
        <v>15</v>
      </c>
      <c r="C32" s="19" t="s">
        <v>33</v>
      </c>
      <c r="D32" s="21" t="s">
        <v>102</v>
      </c>
      <c r="E32" s="19" t="s">
        <v>80</v>
      </c>
      <c r="F32" s="18" t="s">
        <v>50</v>
      </c>
      <c r="G32" s="36" t="s">
        <v>593</v>
      </c>
      <c r="H32" s="18" t="s">
        <v>671</v>
      </c>
      <c r="I32" s="20" t="s">
        <v>675</v>
      </c>
    </row>
    <row r="33" spans="1:9" ht="23.25" customHeight="1" x14ac:dyDescent="0.35">
      <c r="A33" s="18">
        <v>29</v>
      </c>
      <c r="B33" s="19" t="s">
        <v>15</v>
      </c>
      <c r="C33" s="19" t="s">
        <v>33</v>
      </c>
      <c r="D33" s="21" t="s">
        <v>104</v>
      </c>
      <c r="E33" s="19" t="s">
        <v>80</v>
      </c>
      <c r="F33" s="18" t="s">
        <v>50</v>
      </c>
      <c r="G33" s="42" t="s">
        <v>496</v>
      </c>
      <c r="H33" s="18" t="s">
        <v>497</v>
      </c>
      <c r="I33" s="20" t="s">
        <v>676</v>
      </c>
    </row>
    <row r="34" spans="1:9" ht="23.25" customHeight="1" x14ac:dyDescent="0.35">
      <c r="A34" s="18">
        <v>30</v>
      </c>
      <c r="B34" s="19" t="s">
        <v>15</v>
      </c>
      <c r="C34" s="19" t="s">
        <v>33</v>
      </c>
      <c r="D34" s="21" t="s">
        <v>106</v>
      </c>
      <c r="E34" s="19" t="s">
        <v>80</v>
      </c>
      <c r="F34" s="18" t="s">
        <v>50</v>
      </c>
      <c r="G34" s="42" t="s">
        <v>496</v>
      </c>
      <c r="H34" s="18" t="s">
        <v>497</v>
      </c>
      <c r="I34" s="20" t="s">
        <v>676</v>
      </c>
    </row>
    <row r="35" spans="1:9" ht="23.25" customHeight="1" x14ac:dyDescent="0.35">
      <c r="A35" s="18">
        <v>31</v>
      </c>
      <c r="B35" s="19" t="s">
        <v>15</v>
      </c>
      <c r="C35" s="19" t="s">
        <v>33</v>
      </c>
      <c r="D35" s="21" t="s">
        <v>108</v>
      </c>
      <c r="E35" s="19" t="s">
        <v>80</v>
      </c>
      <c r="F35" s="18" t="s">
        <v>50</v>
      </c>
      <c r="G35" s="42" t="s">
        <v>496</v>
      </c>
      <c r="H35" s="18" t="s">
        <v>497</v>
      </c>
      <c r="I35" s="20" t="s">
        <v>676</v>
      </c>
    </row>
    <row r="36" spans="1:9" ht="23.25" customHeight="1" x14ac:dyDescent="0.35">
      <c r="A36" s="18">
        <v>32</v>
      </c>
      <c r="B36" s="19" t="s">
        <v>15</v>
      </c>
      <c r="C36" s="19" t="s">
        <v>33</v>
      </c>
      <c r="D36" s="21" t="s">
        <v>110</v>
      </c>
      <c r="E36" s="19" t="s">
        <v>80</v>
      </c>
      <c r="F36" s="18" t="s">
        <v>50</v>
      </c>
      <c r="G36" s="43" t="s">
        <v>670</v>
      </c>
      <c r="H36" s="18" t="s">
        <v>671</v>
      </c>
      <c r="I36" s="20" t="s">
        <v>672</v>
      </c>
    </row>
    <row r="37" spans="1:9" ht="15" customHeight="1" x14ac:dyDescent="0.35">
      <c r="A37" s="18">
        <v>33</v>
      </c>
      <c r="B37" s="19" t="s">
        <v>15</v>
      </c>
      <c r="C37" s="19" t="s">
        <v>33</v>
      </c>
      <c r="D37" s="21" t="s">
        <v>112</v>
      </c>
      <c r="E37" s="19" t="s">
        <v>80</v>
      </c>
      <c r="F37" s="18" t="s">
        <v>50</v>
      </c>
      <c r="G37" s="36" t="s">
        <v>593</v>
      </c>
      <c r="H37" s="18" t="s">
        <v>671</v>
      </c>
      <c r="I37" s="20" t="s">
        <v>673</v>
      </c>
    </row>
    <row r="38" spans="1:9" ht="15" customHeight="1" x14ac:dyDescent="0.35">
      <c r="A38" s="18">
        <v>34</v>
      </c>
      <c r="B38" s="19" t="s">
        <v>15</v>
      </c>
      <c r="C38" s="19" t="s">
        <v>33</v>
      </c>
      <c r="D38" s="21" t="s">
        <v>113</v>
      </c>
      <c r="E38" s="19" t="s">
        <v>80</v>
      </c>
      <c r="F38" s="18" t="s">
        <v>50</v>
      </c>
      <c r="G38" s="42" t="s">
        <v>496</v>
      </c>
      <c r="H38" s="18" t="s">
        <v>497</v>
      </c>
      <c r="I38" s="20" t="s">
        <v>674</v>
      </c>
    </row>
    <row r="39" spans="1:9" ht="23.25" customHeight="1" x14ac:dyDescent="0.35">
      <c r="A39" s="18">
        <v>35</v>
      </c>
      <c r="B39" s="19" t="s">
        <v>15</v>
      </c>
      <c r="C39" s="19" t="s">
        <v>33</v>
      </c>
      <c r="D39" s="21" t="s">
        <v>115</v>
      </c>
      <c r="E39" s="19" t="s">
        <v>80</v>
      </c>
      <c r="F39" s="18" t="s">
        <v>50</v>
      </c>
      <c r="G39" s="43" t="s">
        <v>670</v>
      </c>
      <c r="H39" s="18" t="s">
        <v>671</v>
      </c>
      <c r="I39" s="20" t="s">
        <v>672</v>
      </c>
    </row>
    <row r="40" spans="1:9" ht="15" customHeight="1" x14ac:dyDescent="0.35">
      <c r="A40" s="18">
        <v>36</v>
      </c>
      <c r="B40" s="19" t="s">
        <v>15</v>
      </c>
      <c r="C40" s="19" t="s">
        <v>33</v>
      </c>
      <c r="D40" s="21" t="s">
        <v>117</v>
      </c>
      <c r="E40" s="19" t="s">
        <v>80</v>
      </c>
      <c r="F40" s="18" t="s">
        <v>50</v>
      </c>
      <c r="G40" s="36" t="s">
        <v>593</v>
      </c>
      <c r="H40" s="18" t="s">
        <v>671</v>
      </c>
      <c r="I40" s="20" t="s">
        <v>673</v>
      </c>
    </row>
    <row r="41" spans="1:9" ht="15" customHeight="1" x14ac:dyDescent="0.35">
      <c r="A41" s="18">
        <v>37</v>
      </c>
      <c r="B41" s="19" t="s">
        <v>15</v>
      </c>
      <c r="C41" s="19" t="s">
        <v>33</v>
      </c>
      <c r="D41" s="21" t="s">
        <v>119</v>
      </c>
      <c r="E41" s="19" t="s">
        <v>80</v>
      </c>
      <c r="F41" s="18" t="s">
        <v>50</v>
      </c>
      <c r="G41" s="42" t="s">
        <v>496</v>
      </c>
      <c r="H41" s="18" t="s">
        <v>497</v>
      </c>
      <c r="I41" s="20" t="s">
        <v>674</v>
      </c>
    </row>
    <row r="42" spans="1:9" ht="23.25" customHeight="1" x14ac:dyDescent="0.35">
      <c r="A42" s="18">
        <v>38</v>
      </c>
      <c r="B42" s="19" t="s">
        <v>15</v>
      </c>
      <c r="C42" s="19" t="s">
        <v>33</v>
      </c>
      <c r="D42" s="21" t="s">
        <v>121</v>
      </c>
      <c r="E42" s="19" t="s">
        <v>92</v>
      </c>
      <c r="F42" s="18" t="s">
        <v>50</v>
      </c>
      <c r="G42" s="36" t="s">
        <v>593</v>
      </c>
      <c r="H42" s="18" t="s">
        <v>671</v>
      </c>
      <c r="I42" s="20" t="s">
        <v>675</v>
      </c>
    </row>
    <row r="43" spans="1:9" ht="23.25" customHeight="1" x14ac:dyDescent="0.35">
      <c r="A43" s="18">
        <v>39</v>
      </c>
      <c r="B43" s="19" t="s">
        <v>15</v>
      </c>
      <c r="C43" s="19" t="s">
        <v>33</v>
      </c>
      <c r="D43" s="21" t="s">
        <v>123</v>
      </c>
      <c r="E43" s="19" t="s">
        <v>80</v>
      </c>
      <c r="F43" s="18" t="s">
        <v>50</v>
      </c>
      <c r="G43" s="36" t="s">
        <v>593</v>
      </c>
      <c r="H43" s="18" t="s">
        <v>671</v>
      </c>
      <c r="I43" s="20" t="s">
        <v>675</v>
      </c>
    </row>
    <row r="44" spans="1:9" ht="23.25" customHeight="1" x14ac:dyDescent="0.35">
      <c r="A44" s="18">
        <v>40</v>
      </c>
      <c r="B44" s="19" t="s">
        <v>15</v>
      </c>
      <c r="C44" s="19" t="s">
        <v>33</v>
      </c>
      <c r="D44" s="21" t="s">
        <v>125</v>
      </c>
      <c r="E44" s="19" t="s">
        <v>92</v>
      </c>
      <c r="F44" s="18" t="s">
        <v>50</v>
      </c>
      <c r="G44" s="36" t="s">
        <v>593</v>
      </c>
      <c r="H44" s="18" t="s">
        <v>671</v>
      </c>
      <c r="I44" s="20" t="s">
        <v>675</v>
      </c>
    </row>
    <row r="45" spans="1:9" ht="23.25" customHeight="1" x14ac:dyDescent="0.35">
      <c r="A45" s="18">
        <v>41</v>
      </c>
      <c r="B45" s="19" t="s">
        <v>15</v>
      </c>
      <c r="C45" s="19" t="s">
        <v>33</v>
      </c>
      <c r="D45" s="21" t="s">
        <v>127</v>
      </c>
      <c r="E45" s="19" t="s">
        <v>80</v>
      </c>
      <c r="F45" s="18" t="s">
        <v>50</v>
      </c>
      <c r="G45" s="36" t="s">
        <v>593</v>
      </c>
      <c r="H45" s="18" t="s">
        <v>671</v>
      </c>
      <c r="I45" s="20" t="s">
        <v>675</v>
      </c>
    </row>
    <row r="46" spans="1:9" ht="23.25" customHeight="1" x14ac:dyDescent="0.35">
      <c r="A46" s="18">
        <v>42</v>
      </c>
      <c r="B46" s="19" t="s">
        <v>15</v>
      </c>
      <c r="C46" s="19" t="s">
        <v>33</v>
      </c>
      <c r="D46" s="21" t="s">
        <v>129</v>
      </c>
      <c r="E46" s="19" t="s">
        <v>92</v>
      </c>
      <c r="F46" s="18" t="s">
        <v>50</v>
      </c>
      <c r="G46" s="36" t="s">
        <v>593</v>
      </c>
      <c r="H46" s="18" t="s">
        <v>671</v>
      </c>
      <c r="I46" s="20" t="s">
        <v>675</v>
      </c>
    </row>
    <row r="47" spans="1:9" ht="23.25" customHeight="1" x14ac:dyDescent="0.35">
      <c r="A47" s="18">
        <v>43</v>
      </c>
      <c r="B47" s="19" t="s">
        <v>15</v>
      </c>
      <c r="C47" s="19" t="s">
        <v>33</v>
      </c>
      <c r="D47" s="21" t="s">
        <v>131</v>
      </c>
      <c r="E47" s="19" t="s">
        <v>80</v>
      </c>
      <c r="F47" s="18" t="s">
        <v>50</v>
      </c>
      <c r="G47" s="36" t="s">
        <v>593</v>
      </c>
      <c r="H47" s="18" t="s">
        <v>671</v>
      </c>
      <c r="I47" s="20" t="s">
        <v>675</v>
      </c>
    </row>
    <row r="48" spans="1:9" ht="23.25" customHeight="1" x14ac:dyDescent="0.35">
      <c r="A48" s="18">
        <v>44</v>
      </c>
      <c r="B48" s="19" t="s">
        <v>15</v>
      </c>
      <c r="C48" s="19" t="s">
        <v>33</v>
      </c>
      <c r="D48" s="21" t="s">
        <v>133</v>
      </c>
      <c r="E48" s="19" t="s">
        <v>80</v>
      </c>
      <c r="F48" s="18" t="s">
        <v>50</v>
      </c>
      <c r="G48" s="42" t="s">
        <v>496</v>
      </c>
      <c r="H48" s="18" t="s">
        <v>497</v>
      </c>
      <c r="I48" s="20" t="s">
        <v>676</v>
      </c>
    </row>
    <row r="49" spans="1:9" ht="23.25" customHeight="1" x14ac:dyDescent="0.35">
      <c r="A49" s="18">
        <v>45</v>
      </c>
      <c r="B49" s="19" t="s">
        <v>15</v>
      </c>
      <c r="C49" s="19" t="s">
        <v>33</v>
      </c>
      <c r="D49" s="21" t="s">
        <v>135</v>
      </c>
      <c r="E49" s="19" t="s">
        <v>80</v>
      </c>
      <c r="F49" s="18" t="s">
        <v>50</v>
      </c>
      <c r="G49" s="42" t="s">
        <v>496</v>
      </c>
      <c r="H49" s="18" t="s">
        <v>497</v>
      </c>
      <c r="I49" s="20" t="s">
        <v>676</v>
      </c>
    </row>
    <row r="50" spans="1:9" ht="23.25" customHeight="1" x14ac:dyDescent="0.35">
      <c r="A50" s="18">
        <v>46</v>
      </c>
      <c r="B50" s="19" t="s">
        <v>15</v>
      </c>
      <c r="C50" s="19" t="s">
        <v>33</v>
      </c>
      <c r="D50" s="21" t="s">
        <v>137</v>
      </c>
      <c r="E50" s="19" t="s">
        <v>80</v>
      </c>
      <c r="F50" s="18" t="s">
        <v>50</v>
      </c>
      <c r="G50" s="42" t="s">
        <v>496</v>
      </c>
      <c r="H50" s="18" t="s">
        <v>497</v>
      </c>
      <c r="I50" s="20" t="s">
        <v>676</v>
      </c>
    </row>
    <row r="51" spans="1:9" ht="23.25" customHeight="1" x14ac:dyDescent="0.35">
      <c r="A51" s="18">
        <v>47</v>
      </c>
      <c r="B51" s="19" t="s">
        <v>15</v>
      </c>
      <c r="C51" s="19" t="s">
        <v>33</v>
      </c>
      <c r="D51" s="21" t="s">
        <v>139</v>
      </c>
      <c r="E51" s="19" t="s">
        <v>80</v>
      </c>
      <c r="F51" s="18" t="s">
        <v>50</v>
      </c>
      <c r="G51" s="36" t="s">
        <v>593</v>
      </c>
      <c r="H51" s="18" t="s">
        <v>671</v>
      </c>
      <c r="I51" s="20" t="s">
        <v>677</v>
      </c>
    </row>
    <row r="52" spans="1:9" ht="15" customHeight="1" x14ac:dyDescent="0.35">
      <c r="A52" s="18">
        <v>48</v>
      </c>
      <c r="B52" s="19" t="s">
        <v>15</v>
      </c>
      <c r="C52" s="19" t="s">
        <v>33</v>
      </c>
      <c r="D52" s="21" t="s">
        <v>141</v>
      </c>
      <c r="E52" s="19" t="s">
        <v>80</v>
      </c>
      <c r="F52" s="18" t="s">
        <v>50</v>
      </c>
      <c r="G52" s="36" t="s">
        <v>593</v>
      </c>
      <c r="H52" s="18" t="s">
        <v>671</v>
      </c>
      <c r="I52" s="20" t="s">
        <v>673</v>
      </c>
    </row>
    <row r="53" spans="1:9" ht="15" customHeight="1" x14ac:dyDescent="0.35">
      <c r="A53" s="18">
        <v>49</v>
      </c>
      <c r="B53" s="19" t="s">
        <v>15</v>
      </c>
      <c r="C53" s="19" t="s">
        <v>33</v>
      </c>
      <c r="D53" s="21" t="s">
        <v>142</v>
      </c>
      <c r="E53" s="19" t="s">
        <v>80</v>
      </c>
      <c r="F53" s="18" t="s">
        <v>50</v>
      </c>
      <c r="G53" s="36" t="s">
        <v>593</v>
      </c>
      <c r="H53" s="18" t="s">
        <v>671</v>
      </c>
      <c r="I53" s="20" t="s">
        <v>678</v>
      </c>
    </row>
    <row r="54" spans="1:9" ht="23.25" customHeight="1" x14ac:dyDescent="0.35">
      <c r="A54" s="18">
        <v>50</v>
      </c>
      <c r="B54" s="19" t="s">
        <v>15</v>
      </c>
      <c r="C54" s="19" t="s">
        <v>33</v>
      </c>
      <c r="D54" s="21" t="s">
        <v>144</v>
      </c>
      <c r="E54" s="19" t="s">
        <v>80</v>
      </c>
      <c r="F54" s="18" t="s">
        <v>50</v>
      </c>
      <c r="G54" s="36" t="s">
        <v>593</v>
      </c>
      <c r="H54" s="18" t="s">
        <v>671</v>
      </c>
      <c r="I54" s="20" t="s">
        <v>677</v>
      </c>
    </row>
    <row r="55" spans="1:9" ht="15" customHeight="1" x14ac:dyDescent="0.35">
      <c r="A55" s="18">
        <v>51</v>
      </c>
      <c r="B55" s="19" t="s">
        <v>15</v>
      </c>
      <c r="C55" s="19" t="s">
        <v>33</v>
      </c>
      <c r="D55" s="21" t="s">
        <v>146</v>
      </c>
      <c r="E55" s="19" t="s">
        <v>80</v>
      </c>
      <c r="F55" s="18" t="s">
        <v>50</v>
      </c>
      <c r="G55" s="36" t="s">
        <v>593</v>
      </c>
      <c r="H55" s="18" t="s">
        <v>671</v>
      </c>
      <c r="I55" s="20" t="s">
        <v>673</v>
      </c>
    </row>
    <row r="56" spans="1:9" ht="15" customHeight="1" x14ac:dyDescent="0.35">
      <c r="A56" s="18">
        <v>52</v>
      </c>
      <c r="B56" s="19" t="s">
        <v>15</v>
      </c>
      <c r="C56" s="19" t="s">
        <v>33</v>
      </c>
      <c r="D56" s="21" t="s">
        <v>148</v>
      </c>
      <c r="E56" s="19" t="s">
        <v>80</v>
      </c>
      <c r="F56" s="18" t="s">
        <v>50</v>
      </c>
      <c r="G56" s="36" t="s">
        <v>593</v>
      </c>
      <c r="H56" s="18" t="s">
        <v>671</v>
      </c>
      <c r="I56" s="20" t="s">
        <v>678</v>
      </c>
    </row>
    <row r="57" spans="1:9" ht="23.25" customHeight="1" x14ac:dyDescent="0.35">
      <c r="A57" s="18">
        <v>53</v>
      </c>
      <c r="B57" s="19" t="s">
        <v>15</v>
      </c>
      <c r="C57" s="19" t="s">
        <v>33</v>
      </c>
      <c r="D57" s="21" t="s">
        <v>150</v>
      </c>
      <c r="E57" s="19" t="s">
        <v>92</v>
      </c>
      <c r="F57" s="18" t="s">
        <v>50</v>
      </c>
      <c r="G57" s="36" t="s">
        <v>593</v>
      </c>
      <c r="H57" s="18" t="s">
        <v>671</v>
      </c>
      <c r="I57" s="20" t="s">
        <v>675</v>
      </c>
    </row>
    <row r="58" spans="1:9" ht="23.25" customHeight="1" x14ac:dyDescent="0.35">
      <c r="A58" s="18">
        <v>54</v>
      </c>
      <c r="B58" s="19" t="s">
        <v>15</v>
      </c>
      <c r="C58" s="19" t="s">
        <v>33</v>
      </c>
      <c r="D58" s="21" t="s">
        <v>152</v>
      </c>
      <c r="E58" s="19" t="s">
        <v>80</v>
      </c>
      <c r="F58" s="18" t="s">
        <v>50</v>
      </c>
      <c r="G58" s="36" t="s">
        <v>593</v>
      </c>
      <c r="H58" s="18" t="s">
        <v>671</v>
      </c>
      <c r="I58" s="20" t="s">
        <v>675</v>
      </c>
    </row>
    <row r="59" spans="1:9" ht="23.25" customHeight="1" x14ac:dyDescent="0.35">
      <c r="A59" s="18">
        <v>55</v>
      </c>
      <c r="B59" s="19" t="s">
        <v>15</v>
      </c>
      <c r="C59" s="19" t="s">
        <v>33</v>
      </c>
      <c r="D59" s="21" t="s">
        <v>154</v>
      </c>
      <c r="E59" s="19" t="s">
        <v>92</v>
      </c>
      <c r="F59" s="18" t="s">
        <v>50</v>
      </c>
      <c r="G59" s="36" t="s">
        <v>593</v>
      </c>
      <c r="H59" s="18" t="s">
        <v>671</v>
      </c>
      <c r="I59" s="20" t="s">
        <v>675</v>
      </c>
    </row>
    <row r="60" spans="1:9" ht="23.25" customHeight="1" x14ac:dyDescent="0.35">
      <c r="A60" s="18">
        <v>56</v>
      </c>
      <c r="B60" s="19" t="s">
        <v>15</v>
      </c>
      <c r="C60" s="19" t="s">
        <v>33</v>
      </c>
      <c r="D60" s="21" t="s">
        <v>156</v>
      </c>
      <c r="E60" s="19" t="s">
        <v>80</v>
      </c>
      <c r="F60" s="18" t="s">
        <v>50</v>
      </c>
      <c r="G60" s="36" t="s">
        <v>593</v>
      </c>
      <c r="H60" s="18" t="s">
        <v>671</v>
      </c>
      <c r="I60" s="20" t="s">
        <v>675</v>
      </c>
    </row>
    <row r="61" spans="1:9" ht="23.25" customHeight="1" x14ac:dyDescent="0.35">
      <c r="A61" s="18">
        <v>57</v>
      </c>
      <c r="B61" s="19" t="s">
        <v>15</v>
      </c>
      <c r="C61" s="19" t="s">
        <v>33</v>
      </c>
      <c r="D61" s="21" t="s">
        <v>158</v>
      </c>
      <c r="E61" s="19" t="s">
        <v>92</v>
      </c>
      <c r="F61" s="18" t="s">
        <v>50</v>
      </c>
      <c r="G61" s="36" t="s">
        <v>593</v>
      </c>
      <c r="H61" s="18" t="s">
        <v>671</v>
      </c>
      <c r="I61" s="20" t="s">
        <v>675</v>
      </c>
    </row>
    <row r="62" spans="1:9" ht="23.25" customHeight="1" x14ac:dyDescent="0.35">
      <c r="A62" s="18">
        <v>58</v>
      </c>
      <c r="B62" s="19" t="s">
        <v>15</v>
      </c>
      <c r="C62" s="19" t="s">
        <v>33</v>
      </c>
      <c r="D62" s="21" t="s">
        <v>160</v>
      </c>
      <c r="E62" s="19" t="s">
        <v>80</v>
      </c>
      <c r="F62" s="18" t="s">
        <v>50</v>
      </c>
      <c r="G62" s="36" t="s">
        <v>593</v>
      </c>
      <c r="H62" s="18" t="s">
        <v>671</v>
      </c>
      <c r="I62" s="20" t="s">
        <v>675</v>
      </c>
    </row>
    <row r="63" spans="1:9" ht="23.25" customHeight="1" x14ac:dyDescent="0.35">
      <c r="A63" s="18">
        <v>59</v>
      </c>
      <c r="B63" s="19" t="s">
        <v>15</v>
      </c>
      <c r="C63" s="19" t="s">
        <v>33</v>
      </c>
      <c r="D63" s="21" t="s">
        <v>162</v>
      </c>
      <c r="E63" s="19" t="s">
        <v>80</v>
      </c>
      <c r="F63" s="18" t="s">
        <v>50</v>
      </c>
      <c r="G63" s="42" t="s">
        <v>496</v>
      </c>
      <c r="H63" s="18" t="s">
        <v>497</v>
      </c>
      <c r="I63" s="20" t="s">
        <v>676</v>
      </c>
    </row>
    <row r="64" spans="1:9" ht="23.25" customHeight="1" x14ac:dyDescent="0.35">
      <c r="A64" s="18">
        <v>60</v>
      </c>
      <c r="B64" s="19" t="s">
        <v>15</v>
      </c>
      <c r="C64" s="19" t="s">
        <v>33</v>
      </c>
      <c r="D64" s="21" t="s">
        <v>164</v>
      </c>
      <c r="E64" s="19" t="s">
        <v>80</v>
      </c>
      <c r="F64" s="18" t="s">
        <v>50</v>
      </c>
      <c r="G64" s="42" t="s">
        <v>496</v>
      </c>
      <c r="H64" s="18" t="s">
        <v>497</v>
      </c>
      <c r="I64" s="20" t="s">
        <v>676</v>
      </c>
    </row>
    <row r="65" spans="1:9" ht="23.25" customHeight="1" x14ac:dyDescent="0.35">
      <c r="A65" s="18">
        <v>61</v>
      </c>
      <c r="B65" s="19" t="s">
        <v>15</v>
      </c>
      <c r="C65" s="19" t="s">
        <v>33</v>
      </c>
      <c r="D65" s="21" t="s">
        <v>166</v>
      </c>
      <c r="E65" s="19" t="s">
        <v>80</v>
      </c>
      <c r="F65" s="18" t="s">
        <v>50</v>
      </c>
      <c r="G65" s="42" t="s">
        <v>496</v>
      </c>
      <c r="H65" s="18" t="s">
        <v>497</v>
      </c>
      <c r="I65" s="20" t="s">
        <v>676</v>
      </c>
    </row>
    <row r="66" spans="1:9" ht="23.25" customHeight="1" x14ac:dyDescent="0.35">
      <c r="A66" s="18">
        <v>62</v>
      </c>
      <c r="B66" s="19" t="s">
        <v>15</v>
      </c>
      <c r="C66" s="19" t="s">
        <v>33</v>
      </c>
      <c r="D66" s="21" t="s">
        <v>168</v>
      </c>
      <c r="E66" s="19" t="s">
        <v>80</v>
      </c>
      <c r="F66" s="18" t="s">
        <v>50</v>
      </c>
      <c r="G66" s="36" t="s">
        <v>593</v>
      </c>
      <c r="H66" s="18" t="s">
        <v>671</v>
      </c>
      <c r="I66" s="20" t="s">
        <v>679</v>
      </c>
    </row>
    <row r="67" spans="1:9" ht="15" customHeight="1" x14ac:dyDescent="0.35">
      <c r="A67" s="18">
        <v>63</v>
      </c>
      <c r="B67" s="19" t="s">
        <v>15</v>
      </c>
      <c r="C67" s="19" t="s">
        <v>33</v>
      </c>
      <c r="D67" s="21" t="s">
        <v>170</v>
      </c>
      <c r="E67" s="19" t="s">
        <v>80</v>
      </c>
      <c r="F67" s="18" t="s">
        <v>50</v>
      </c>
      <c r="G67" s="36" t="s">
        <v>593</v>
      </c>
      <c r="H67" s="18" t="s">
        <v>671</v>
      </c>
      <c r="I67" s="20" t="s">
        <v>673</v>
      </c>
    </row>
    <row r="68" spans="1:9" ht="15" customHeight="1" x14ac:dyDescent="0.35">
      <c r="A68" s="18">
        <v>64</v>
      </c>
      <c r="B68" s="19" t="s">
        <v>15</v>
      </c>
      <c r="C68" s="19" t="s">
        <v>33</v>
      </c>
      <c r="D68" s="21" t="s">
        <v>171</v>
      </c>
      <c r="E68" s="19" t="s">
        <v>80</v>
      </c>
      <c r="F68" s="18" t="s">
        <v>50</v>
      </c>
      <c r="G68" s="36" t="s">
        <v>593</v>
      </c>
      <c r="H68" s="18" t="s">
        <v>671</v>
      </c>
      <c r="I68" s="20" t="s">
        <v>680</v>
      </c>
    </row>
    <row r="69" spans="1:9" ht="23.25" customHeight="1" x14ac:dyDescent="0.35">
      <c r="A69" s="18">
        <v>65</v>
      </c>
      <c r="B69" s="19" t="s">
        <v>15</v>
      </c>
      <c r="C69" s="19" t="s">
        <v>33</v>
      </c>
      <c r="D69" s="21" t="s">
        <v>173</v>
      </c>
      <c r="E69" s="19" t="s">
        <v>80</v>
      </c>
      <c r="F69" s="18" t="s">
        <v>50</v>
      </c>
      <c r="G69" s="36" t="s">
        <v>593</v>
      </c>
      <c r="H69" s="18" t="s">
        <v>671</v>
      </c>
      <c r="I69" s="20" t="s">
        <v>679</v>
      </c>
    </row>
    <row r="70" spans="1:9" ht="15" customHeight="1" x14ac:dyDescent="0.35">
      <c r="A70" s="18">
        <v>66</v>
      </c>
      <c r="B70" s="19" t="s">
        <v>15</v>
      </c>
      <c r="C70" s="19" t="s">
        <v>33</v>
      </c>
      <c r="D70" s="21" t="s">
        <v>175</v>
      </c>
      <c r="E70" s="19" t="s">
        <v>80</v>
      </c>
      <c r="F70" s="18" t="s">
        <v>50</v>
      </c>
      <c r="G70" s="36" t="s">
        <v>593</v>
      </c>
      <c r="H70" s="18" t="s">
        <v>671</v>
      </c>
      <c r="I70" s="20" t="s">
        <v>673</v>
      </c>
    </row>
    <row r="71" spans="1:9" ht="15" customHeight="1" x14ac:dyDescent="0.35">
      <c r="A71" s="18">
        <v>67</v>
      </c>
      <c r="B71" s="19" t="s">
        <v>15</v>
      </c>
      <c r="C71" s="19" t="s">
        <v>33</v>
      </c>
      <c r="D71" s="21" t="s">
        <v>177</v>
      </c>
      <c r="E71" s="19" t="s">
        <v>80</v>
      </c>
      <c r="F71" s="18" t="s">
        <v>50</v>
      </c>
      <c r="G71" s="36" t="s">
        <v>593</v>
      </c>
      <c r="H71" s="18" t="s">
        <v>671</v>
      </c>
      <c r="I71" s="20" t="s">
        <v>680</v>
      </c>
    </row>
    <row r="72" spans="1:9" ht="23.25" customHeight="1" x14ac:dyDescent="0.35">
      <c r="A72" s="18">
        <v>68</v>
      </c>
      <c r="B72" s="19" t="s">
        <v>15</v>
      </c>
      <c r="C72" s="19" t="s">
        <v>33</v>
      </c>
      <c r="D72" s="21" t="s">
        <v>179</v>
      </c>
      <c r="E72" s="19" t="s">
        <v>92</v>
      </c>
      <c r="F72" s="18" t="s">
        <v>50</v>
      </c>
      <c r="G72" s="36" t="s">
        <v>593</v>
      </c>
      <c r="H72" s="18" t="s">
        <v>671</v>
      </c>
      <c r="I72" s="20" t="s">
        <v>675</v>
      </c>
    </row>
    <row r="73" spans="1:9" ht="23.25" customHeight="1" x14ac:dyDescent="0.35">
      <c r="A73" s="18">
        <v>69</v>
      </c>
      <c r="B73" s="19" t="s">
        <v>15</v>
      </c>
      <c r="C73" s="19" t="s">
        <v>33</v>
      </c>
      <c r="D73" s="21" t="s">
        <v>181</v>
      </c>
      <c r="E73" s="19" t="s">
        <v>80</v>
      </c>
      <c r="F73" s="18" t="s">
        <v>50</v>
      </c>
      <c r="G73" s="36" t="s">
        <v>593</v>
      </c>
      <c r="H73" s="18" t="s">
        <v>671</v>
      </c>
      <c r="I73" s="20" t="s">
        <v>675</v>
      </c>
    </row>
    <row r="74" spans="1:9" ht="23.25" customHeight="1" x14ac:dyDescent="0.35">
      <c r="A74" s="18">
        <v>70</v>
      </c>
      <c r="B74" s="19" t="s">
        <v>15</v>
      </c>
      <c r="C74" s="19" t="s">
        <v>33</v>
      </c>
      <c r="D74" s="21" t="s">
        <v>183</v>
      </c>
      <c r="E74" s="19" t="s">
        <v>92</v>
      </c>
      <c r="F74" s="18" t="s">
        <v>50</v>
      </c>
      <c r="G74" s="36" t="s">
        <v>593</v>
      </c>
      <c r="H74" s="18" t="s">
        <v>671</v>
      </c>
      <c r="I74" s="20" t="s">
        <v>675</v>
      </c>
    </row>
    <row r="75" spans="1:9" ht="23.25" customHeight="1" x14ac:dyDescent="0.35">
      <c r="A75" s="18">
        <v>71</v>
      </c>
      <c r="B75" s="19" t="s">
        <v>15</v>
      </c>
      <c r="C75" s="19" t="s">
        <v>33</v>
      </c>
      <c r="D75" s="21" t="s">
        <v>185</v>
      </c>
      <c r="E75" s="19" t="s">
        <v>80</v>
      </c>
      <c r="F75" s="18" t="s">
        <v>50</v>
      </c>
      <c r="G75" s="36" t="s">
        <v>593</v>
      </c>
      <c r="H75" s="18" t="s">
        <v>671</v>
      </c>
      <c r="I75" s="20" t="s">
        <v>675</v>
      </c>
    </row>
    <row r="76" spans="1:9" ht="23.25" customHeight="1" x14ac:dyDescent="0.35">
      <c r="A76" s="18">
        <v>72</v>
      </c>
      <c r="B76" s="19" t="s">
        <v>15</v>
      </c>
      <c r="C76" s="19" t="s">
        <v>33</v>
      </c>
      <c r="D76" s="21" t="s">
        <v>187</v>
      </c>
      <c r="E76" s="19" t="s">
        <v>92</v>
      </c>
      <c r="F76" s="18" t="s">
        <v>50</v>
      </c>
      <c r="G76" s="36" t="s">
        <v>593</v>
      </c>
      <c r="H76" s="18" t="s">
        <v>671</v>
      </c>
      <c r="I76" s="20" t="s">
        <v>675</v>
      </c>
    </row>
    <row r="77" spans="1:9" ht="23.25" customHeight="1" x14ac:dyDescent="0.35">
      <c r="A77" s="18">
        <v>73</v>
      </c>
      <c r="B77" s="19" t="s">
        <v>15</v>
      </c>
      <c r="C77" s="19" t="s">
        <v>33</v>
      </c>
      <c r="D77" s="21" t="s">
        <v>189</v>
      </c>
      <c r="E77" s="19" t="s">
        <v>80</v>
      </c>
      <c r="F77" s="18" t="s">
        <v>50</v>
      </c>
      <c r="G77" s="36" t="s">
        <v>593</v>
      </c>
      <c r="H77" s="18" t="s">
        <v>671</v>
      </c>
      <c r="I77" s="20" t="s">
        <v>675</v>
      </c>
    </row>
    <row r="78" spans="1:9" ht="23.25" customHeight="1" x14ac:dyDescent="0.35">
      <c r="A78" s="18">
        <v>74</v>
      </c>
      <c r="B78" s="19" t="s">
        <v>15</v>
      </c>
      <c r="C78" s="19" t="s">
        <v>33</v>
      </c>
      <c r="D78" s="21" t="s">
        <v>191</v>
      </c>
      <c r="E78" s="19" t="s">
        <v>80</v>
      </c>
      <c r="F78" s="18" t="s">
        <v>50</v>
      </c>
      <c r="G78" s="42" t="s">
        <v>496</v>
      </c>
      <c r="H78" s="18" t="s">
        <v>497</v>
      </c>
      <c r="I78" s="20" t="s">
        <v>676</v>
      </c>
    </row>
    <row r="79" spans="1:9" ht="23.25" customHeight="1" x14ac:dyDescent="0.35">
      <c r="A79" s="18">
        <v>75</v>
      </c>
      <c r="B79" s="19" t="s">
        <v>15</v>
      </c>
      <c r="C79" s="19" t="s">
        <v>33</v>
      </c>
      <c r="D79" s="21" t="s">
        <v>193</v>
      </c>
      <c r="E79" s="19" t="s">
        <v>80</v>
      </c>
      <c r="F79" s="18" t="s">
        <v>50</v>
      </c>
      <c r="G79" s="42" t="s">
        <v>496</v>
      </c>
      <c r="H79" s="18" t="s">
        <v>497</v>
      </c>
      <c r="I79" s="20" t="s">
        <v>676</v>
      </c>
    </row>
    <row r="80" spans="1:9" ht="23.25" customHeight="1" x14ac:dyDescent="0.35">
      <c r="A80" s="18">
        <v>76</v>
      </c>
      <c r="B80" s="19" t="s">
        <v>15</v>
      </c>
      <c r="C80" s="19" t="s">
        <v>33</v>
      </c>
      <c r="D80" s="21" t="s">
        <v>195</v>
      </c>
      <c r="E80" s="19" t="s">
        <v>80</v>
      </c>
      <c r="F80" s="18" t="s">
        <v>50</v>
      </c>
      <c r="G80" s="42" t="s">
        <v>496</v>
      </c>
      <c r="H80" s="18" t="s">
        <v>497</v>
      </c>
      <c r="I80" s="20" t="s">
        <v>676</v>
      </c>
    </row>
    <row r="81" spans="1:9" ht="23.25" customHeight="1" x14ac:dyDescent="0.35">
      <c r="A81" s="18">
        <v>77</v>
      </c>
      <c r="B81" s="19" t="s">
        <v>15</v>
      </c>
      <c r="C81" s="19" t="s">
        <v>33</v>
      </c>
      <c r="D81" s="21" t="s">
        <v>197</v>
      </c>
      <c r="E81" s="19" t="s">
        <v>198</v>
      </c>
      <c r="F81" s="18" t="s">
        <v>50</v>
      </c>
      <c r="G81" s="36" t="s">
        <v>593</v>
      </c>
      <c r="H81" s="18" t="s">
        <v>671</v>
      </c>
      <c r="I81" s="20" t="s">
        <v>681</v>
      </c>
    </row>
    <row r="82" spans="1:9" ht="15" customHeight="1" x14ac:dyDescent="0.35">
      <c r="A82" s="18">
        <v>78</v>
      </c>
      <c r="B82" s="19" t="s">
        <v>15</v>
      </c>
      <c r="C82" s="19" t="s">
        <v>33</v>
      </c>
      <c r="D82" s="21" t="s">
        <v>200</v>
      </c>
      <c r="E82" s="19" t="s">
        <v>80</v>
      </c>
      <c r="F82" s="18" t="s">
        <v>50</v>
      </c>
      <c r="G82" s="36" t="s">
        <v>593</v>
      </c>
      <c r="H82" s="18" t="s">
        <v>671</v>
      </c>
      <c r="I82" s="20" t="s">
        <v>673</v>
      </c>
    </row>
    <row r="83" spans="1:9" ht="15" customHeight="1" x14ac:dyDescent="0.35">
      <c r="A83" s="18">
        <v>79</v>
      </c>
      <c r="B83" s="19" t="s">
        <v>15</v>
      </c>
      <c r="C83" s="19" t="s">
        <v>33</v>
      </c>
      <c r="D83" s="21" t="s">
        <v>201</v>
      </c>
      <c r="E83" s="19" t="s">
        <v>80</v>
      </c>
      <c r="F83" s="18" t="s">
        <v>50</v>
      </c>
      <c r="G83" s="36" t="s">
        <v>593</v>
      </c>
      <c r="H83" s="18" t="s">
        <v>671</v>
      </c>
      <c r="I83" s="20" t="s">
        <v>682</v>
      </c>
    </row>
    <row r="84" spans="1:9" ht="23.25" customHeight="1" x14ac:dyDescent="0.35">
      <c r="A84" s="18">
        <v>80</v>
      </c>
      <c r="B84" s="19" t="s">
        <v>15</v>
      </c>
      <c r="C84" s="19" t="s">
        <v>33</v>
      </c>
      <c r="D84" s="21" t="s">
        <v>203</v>
      </c>
      <c r="E84" s="19" t="s">
        <v>80</v>
      </c>
      <c r="F84" s="18" t="s">
        <v>50</v>
      </c>
      <c r="G84" s="36" t="s">
        <v>593</v>
      </c>
      <c r="H84" s="18" t="s">
        <v>671</v>
      </c>
      <c r="I84" s="20" t="s">
        <v>681</v>
      </c>
    </row>
    <row r="85" spans="1:9" ht="15" customHeight="1" x14ac:dyDescent="0.35">
      <c r="A85" s="18">
        <v>81</v>
      </c>
      <c r="B85" s="19" t="s">
        <v>15</v>
      </c>
      <c r="C85" s="19" t="s">
        <v>33</v>
      </c>
      <c r="D85" s="21" t="s">
        <v>205</v>
      </c>
      <c r="E85" s="19" t="s">
        <v>80</v>
      </c>
      <c r="F85" s="18" t="s">
        <v>50</v>
      </c>
      <c r="G85" s="36" t="s">
        <v>593</v>
      </c>
      <c r="H85" s="18" t="s">
        <v>671</v>
      </c>
      <c r="I85" s="20" t="s">
        <v>673</v>
      </c>
    </row>
    <row r="86" spans="1:9" ht="15" customHeight="1" x14ac:dyDescent="0.35">
      <c r="A86" s="18">
        <v>82</v>
      </c>
      <c r="B86" s="19" t="s">
        <v>15</v>
      </c>
      <c r="C86" s="19" t="s">
        <v>33</v>
      </c>
      <c r="D86" s="21" t="s">
        <v>207</v>
      </c>
      <c r="E86" s="19" t="s">
        <v>80</v>
      </c>
      <c r="F86" s="18" t="s">
        <v>50</v>
      </c>
      <c r="G86" s="36" t="s">
        <v>593</v>
      </c>
      <c r="H86" s="18" t="s">
        <v>671</v>
      </c>
      <c r="I86" s="20" t="s">
        <v>682</v>
      </c>
    </row>
    <row r="87" spans="1:9" ht="23.25" customHeight="1" x14ac:dyDescent="0.35">
      <c r="A87" s="18">
        <v>83</v>
      </c>
      <c r="B87" s="19" t="s">
        <v>15</v>
      </c>
      <c r="C87" s="19" t="s">
        <v>33</v>
      </c>
      <c r="D87" s="21" t="s">
        <v>209</v>
      </c>
      <c r="E87" s="19" t="s">
        <v>210</v>
      </c>
      <c r="F87" s="18" t="s">
        <v>50</v>
      </c>
      <c r="G87" s="36" t="s">
        <v>593</v>
      </c>
      <c r="H87" s="18" t="s">
        <v>671</v>
      </c>
      <c r="I87" s="20" t="s">
        <v>675</v>
      </c>
    </row>
    <row r="88" spans="1:9" ht="23.25" customHeight="1" x14ac:dyDescent="0.35">
      <c r="A88" s="18">
        <v>84</v>
      </c>
      <c r="B88" s="19" t="s">
        <v>15</v>
      </c>
      <c r="C88" s="19" t="s">
        <v>33</v>
      </c>
      <c r="D88" s="21" t="s">
        <v>212</v>
      </c>
      <c r="E88" s="19" t="s">
        <v>80</v>
      </c>
      <c r="F88" s="18" t="s">
        <v>50</v>
      </c>
      <c r="G88" s="36" t="s">
        <v>593</v>
      </c>
      <c r="H88" s="18" t="s">
        <v>671</v>
      </c>
      <c r="I88" s="20" t="s">
        <v>675</v>
      </c>
    </row>
    <row r="89" spans="1:9" ht="23.25" customHeight="1" x14ac:dyDescent="0.35">
      <c r="A89" s="18">
        <v>85</v>
      </c>
      <c r="B89" s="19" t="s">
        <v>15</v>
      </c>
      <c r="C89" s="19" t="s">
        <v>33</v>
      </c>
      <c r="D89" s="21" t="s">
        <v>214</v>
      </c>
      <c r="E89" s="19" t="s">
        <v>92</v>
      </c>
      <c r="F89" s="18" t="s">
        <v>50</v>
      </c>
      <c r="G89" s="36" t="s">
        <v>593</v>
      </c>
      <c r="H89" s="18" t="s">
        <v>671</v>
      </c>
      <c r="I89" s="20" t="s">
        <v>675</v>
      </c>
    </row>
    <row r="90" spans="1:9" ht="23.25" customHeight="1" x14ac:dyDescent="0.35">
      <c r="A90" s="18">
        <v>86</v>
      </c>
      <c r="B90" s="19" t="s">
        <v>15</v>
      </c>
      <c r="C90" s="19" t="s">
        <v>33</v>
      </c>
      <c r="D90" s="21" t="s">
        <v>216</v>
      </c>
      <c r="E90" s="19" t="s">
        <v>217</v>
      </c>
      <c r="F90" s="18" t="s">
        <v>50</v>
      </c>
      <c r="G90" s="36" t="s">
        <v>593</v>
      </c>
      <c r="H90" s="18" t="s">
        <v>671</v>
      </c>
      <c r="I90" s="20" t="s">
        <v>675</v>
      </c>
    </row>
    <row r="91" spans="1:9" ht="23.25" customHeight="1" x14ac:dyDescent="0.35">
      <c r="A91" s="18">
        <v>87</v>
      </c>
      <c r="B91" s="19" t="s">
        <v>15</v>
      </c>
      <c r="C91" s="19" t="s">
        <v>33</v>
      </c>
      <c r="D91" s="21" t="s">
        <v>219</v>
      </c>
      <c r="E91" s="19" t="s">
        <v>210</v>
      </c>
      <c r="F91" s="18" t="s">
        <v>50</v>
      </c>
      <c r="G91" s="36" t="s">
        <v>593</v>
      </c>
      <c r="H91" s="18" t="s">
        <v>671</v>
      </c>
      <c r="I91" s="20" t="s">
        <v>675</v>
      </c>
    </row>
    <row r="92" spans="1:9" ht="23.25" customHeight="1" x14ac:dyDescent="0.35">
      <c r="A92" s="18">
        <v>88</v>
      </c>
      <c r="B92" s="19" t="s">
        <v>15</v>
      </c>
      <c r="C92" s="19" t="s">
        <v>33</v>
      </c>
      <c r="D92" s="21" t="s">
        <v>221</v>
      </c>
      <c r="E92" s="19" t="s">
        <v>80</v>
      </c>
      <c r="F92" s="18" t="s">
        <v>50</v>
      </c>
      <c r="G92" s="36" t="s">
        <v>593</v>
      </c>
      <c r="H92" s="18" t="s">
        <v>671</v>
      </c>
      <c r="I92" s="20" t="s">
        <v>675</v>
      </c>
    </row>
    <row r="93" spans="1:9" ht="23.25" customHeight="1" x14ac:dyDescent="0.35">
      <c r="A93" s="18">
        <v>89</v>
      </c>
      <c r="B93" s="19" t="s">
        <v>15</v>
      </c>
      <c r="C93" s="19" t="s">
        <v>33</v>
      </c>
      <c r="D93" s="21" t="s">
        <v>223</v>
      </c>
      <c r="E93" s="19" t="s">
        <v>80</v>
      </c>
      <c r="F93" s="18" t="s">
        <v>50</v>
      </c>
      <c r="G93" s="42" t="s">
        <v>496</v>
      </c>
      <c r="H93" s="18" t="s">
        <v>497</v>
      </c>
      <c r="I93" s="20" t="s">
        <v>676</v>
      </c>
    </row>
    <row r="94" spans="1:9" ht="23.25" customHeight="1" x14ac:dyDescent="0.35">
      <c r="A94" s="18">
        <v>90</v>
      </c>
      <c r="B94" s="19" t="s">
        <v>15</v>
      </c>
      <c r="C94" s="19" t="s">
        <v>33</v>
      </c>
      <c r="D94" s="21" t="s">
        <v>225</v>
      </c>
      <c r="E94" s="19" t="s">
        <v>80</v>
      </c>
      <c r="F94" s="18" t="s">
        <v>50</v>
      </c>
      <c r="G94" s="42" t="s">
        <v>496</v>
      </c>
      <c r="H94" s="18" t="s">
        <v>497</v>
      </c>
      <c r="I94" s="20" t="s">
        <v>676</v>
      </c>
    </row>
    <row r="95" spans="1:9" ht="23.25" customHeight="1" x14ac:dyDescent="0.35">
      <c r="A95" s="18">
        <v>91</v>
      </c>
      <c r="B95" s="19" t="s">
        <v>15</v>
      </c>
      <c r="C95" s="19" t="s">
        <v>33</v>
      </c>
      <c r="D95" s="21" t="s">
        <v>227</v>
      </c>
      <c r="E95" s="19" t="s">
        <v>80</v>
      </c>
      <c r="F95" s="18" t="s">
        <v>50</v>
      </c>
      <c r="G95" s="42" t="s">
        <v>496</v>
      </c>
      <c r="H95" s="18" t="s">
        <v>497</v>
      </c>
      <c r="I95" s="20" t="s">
        <v>676</v>
      </c>
    </row>
    <row r="96" spans="1:9" ht="15" customHeight="1" x14ac:dyDescent="0.35">
      <c r="A96" s="18">
        <v>92</v>
      </c>
      <c r="B96" s="19" t="s">
        <v>15</v>
      </c>
      <c r="C96" s="19" t="s">
        <v>229</v>
      </c>
      <c r="D96" s="21" t="s">
        <v>35</v>
      </c>
      <c r="E96" s="19" t="s">
        <v>36</v>
      </c>
      <c r="F96" s="18" t="s">
        <v>37</v>
      </c>
      <c r="G96" s="42" t="s">
        <v>496</v>
      </c>
      <c r="H96" s="18" t="s">
        <v>497</v>
      </c>
      <c r="I96" s="20" t="s">
        <v>658</v>
      </c>
    </row>
    <row r="97" spans="1:9" ht="15" customHeight="1" x14ac:dyDescent="0.35">
      <c r="A97" s="18">
        <v>93</v>
      </c>
      <c r="B97" s="19" t="s">
        <v>15</v>
      </c>
      <c r="C97" s="19" t="s">
        <v>229</v>
      </c>
      <c r="D97" s="21" t="s">
        <v>39</v>
      </c>
      <c r="E97" s="19" t="s">
        <v>40</v>
      </c>
      <c r="F97" s="18" t="s">
        <v>37</v>
      </c>
      <c r="G97" s="42" t="s">
        <v>496</v>
      </c>
      <c r="H97" s="18" t="s">
        <v>497</v>
      </c>
      <c r="I97" s="20" t="s">
        <v>658</v>
      </c>
    </row>
    <row r="98" spans="1:9" ht="15" customHeight="1" x14ac:dyDescent="0.35">
      <c r="A98" s="18">
        <v>94</v>
      </c>
      <c r="B98" s="19" t="s">
        <v>15</v>
      </c>
      <c r="C98" s="19" t="s">
        <v>229</v>
      </c>
      <c r="D98" s="21" t="s">
        <v>42</v>
      </c>
      <c r="E98" s="19" t="s">
        <v>43</v>
      </c>
      <c r="F98" s="18" t="s">
        <v>37</v>
      </c>
      <c r="G98" s="37" t="s">
        <v>503</v>
      </c>
      <c r="H98" s="18" t="s">
        <v>659</v>
      </c>
      <c r="I98" s="20" t="s">
        <v>660</v>
      </c>
    </row>
    <row r="99" spans="1:9" ht="15" customHeight="1" x14ac:dyDescent="0.35">
      <c r="A99" s="18">
        <v>95</v>
      </c>
      <c r="B99" s="19" t="s">
        <v>15</v>
      </c>
      <c r="C99" s="19" t="s">
        <v>229</v>
      </c>
      <c r="D99" s="21" t="s">
        <v>45</v>
      </c>
      <c r="E99" s="19" t="s">
        <v>43</v>
      </c>
      <c r="F99" s="18" t="s">
        <v>46</v>
      </c>
      <c r="G99" s="37" t="s">
        <v>503</v>
      </c>
      <c r="H99" s="18" t="s">
        <v>683</v>
      </c>
      <c r="I99" s="20" t="s">
        <v>684</v>
      </c>
    </row>
    <row r="100" spans="1:9" ht="15" customHeight="1" x14ac:dyDescent="0.35">
      <c r="A100" s="18">
        <v>96</v>
      </c>
      <c r="B100" s="19" t="s">
        <v>15</v>
      </c>
      <c r="C100" s="19" t="s">
        <v>229</v>
      </c>
      <c r="D100" s="21" t="s">
        <v>232</v>
      </c>
      <c r="E100" s="19" t="s">
        <v>36</v>
      </c>
      <c r="F100" s="18" t="s">
        <v>37</v>
      </c>
      <c r="G100" s="42" t="s">
        <v>496</v>
      </c>
      <c r="H100" s="18" t="s">
        <v>497</v>
      </c>
      <c r="I100" s="20" t="s">
        <v>658</v>
      </c>
    </row>
    <row r="101" spans="1:9" ht="15" customHeight="1" x14ac:dyDescent="0.35">
      <c r="A101" s="18">
        <v>97</v>
      </c>
      <c r="B101" s="19" t="s">
        <v>15</v>
      </c>
      <c r="C101" s="19" t="s">
        <v>229</v>
      </c>
      <c r="D101" s="21" t="s">
        <v>234</v>
      </c>
      <c r="E101" s="19" t="s">
        <v>40</v>
      </c>
      <c r="F101" s="18" t="s">
        <v>37</v>
      </c>
      <c r="G101" s="42" t="s">
        <v>496</v>
      </c>
      <c r="H101" s="18" t="s">
        <v>497</v>
      </c>
      <c r="I101" s="20" t="s">
        <v>658</v>
      </c>
    </row>
    <row r="102" spans="1:9" ht="15" customHeight="1" x14ac:dyDescent="0.35">
      <c r="A102" s="18">
        <v>98</v>
      </c>
      <c r="B102" s="19" t="s">
        <v>15</v>
      </c>
      <c r="C102" s="19" t="s">
        <v>229</v>
      </c>
      <c r="D102" s="21" t="s">
        <v>236</v>
      </c>
      <c r="E102" s="19" t="s">
        <v>40</v>
      </c>
      <c r="F102" s="18" t="s">
        <v>37</v>
      </c>
      <c r="G102" s="43" t="s">
        <v>670</v>
      </c>
      <c r="H102" s="18" t="s">
        <v>671</v>
      </c>
      <c r="I102" s="20" t="s">
        <v>685</v>
      </c>
    </row>
    <row r="103" spans="1:9" ht="15" customHeight="1" x14ac:dyDescent="0.35">
      <c r="A103" s="18">
        <v>99</v>
      </c>
      <c r="B103" s="19" t="s">
        <v>15</v>
      </c>
      <c r="C103" s="19" t="s">
        <v>229</v>
      </c>
      <c r="D103" s="21" t="s">
        <v>238</v>
      </c>
      <c r="E103" s="19" t="s">
        <v>40</v>
      </c>
      <c r="F103" s="18" t="s">
        <v>37</v>
      </c>
      <c r="G103" s="42" t="s">
        <v>496</v>
      </c>
      <c r="H103" s="18" t="s">
        <v>497</v>
      </c>
      <c r="I103" s="20" t="s">
        <v>658</v>
      </c>
    </row>
    <row r="104" spans="1:9" ht="15" customHeight="1" x14ac:dyDescent="0.35">
      <c r="A104" s="18">
        <v>100</v>
      </c>
      <c r="B104" s="19" t="s">
        <v>15</v>
      </c>
      <c r="C104" s="19" t="s">
        <v>240</v>
      </c>
      <c r="D104" s="21" t="s">
        <v>35</v>
      </c>
      <c r="E104" s="19" t="s">
        <v>36</v>
      </c>
      <c r="F104" s="18" t="s">
        <v>37</v>
      </c>
      <c r="G104" s="42" t="s">
        <v>496</v>
      </c>
      <c r="H104" s="18" t="s">
        <v>497</v>
      </c>
      <c r="I104" s="20" t="s">
        <v>658</v>
      </c>
    </row>
    <row r="105" spans="1:9" ht="15" customHeight="1" x14ac:dyDescent="0.35">
      <c r="A105" s="18">
        <v>101</v>
      </c>
      <c r="B105" s="19" t="s">
        <v>15</v>
      </c>
      <c r="C105" s="19" t="s">
        <v>240</v>
      </c>
      <c r="D105" s="21" t="s">
        <v>39</v>
      </c>
      <c r="E105" s="19" t="s">
        <v>40</v>
      </c>
      <c r="F105" s="18" t="s">
        <v>37</v>
      </c>
      <c r="G105" s="42" t="s">
        <v>496</v>
      </c>
      <c r="H105" s="18" t="s">
        <v>497</v>
      </c>
      <c r="I105" s="20" t="s">
        <v>658</v>
      </c>
    </row>
    <row r="106" spans="1:9" ht="15" customHeight="1" x14ac:dyDescent="0.35">
      <c r="A106" s="18">
        <v>102</v>
      </c>
      <c r="B106" s="19" t="s">
        <v>15</v>
      </c>
      <c r="C106" s="19" t="s">
        <v>240</v>
      </c>
      <c r="D106" s="21" t="s">
        <v>42</v>
      </c>
      <c r="E106" s="19" t="s">
        <v>43</v>
      </c>
      <c r="F106" s="18" t="s">
        <v>37</v>
      </c>
      <c r="G106" s="37" t="s">
        <v>503</v>
      </c>
      <c r="H106" s="18" t="s">
        <v>659</v>
      </c>
      <c r="I106" s="20" t="s">
        <v>660</v>
      </c>
    </row>
    <row r="107" spans="1:9" ht="15" customHeight="1" x14ac:dyDescent="0.35">
      <c r="A107" s="18">
        <v>103</v>
      </c>
      <c r="B107" s="19" t="s">
        <v>15</v>
      </c>
      <c r="C107" s="19" t="s">
        <v>240</v>
      </c>
      <c r="D107" s="21" t="s">
        <v>45</v>
      </c>
      <c r="E107" s="19" t="s">
        <v>43</v>
      </c>
      <c r="F107" s="18" t="s">
        <v>46</v>
      </c>
      <c r="G107" s="37" t="s">
        <v>503</v>
      </c>
      <c r="H107" s="18" t="s">
        <v>683</v>
      </c>
      <c r="I107" s="20" t="s">
        <v>684</v>
      </c>
    </row>
    <row r="108" spans="1:9" ht="15" customHeight="1" x14ac:dyDescent="0.35">
      <c r="A108" s="18">
        <v>104</v>
      </c>
      <c r="B108" s="19" t="s">
        <v>15</v>
      </c>
      <c r="C108" s="19" t="s">
        <v>240</v>
      </c>
      <c r="D108" s="21" t="s">
        <v>242</v>
      </c>
      <c r="E108" s="19" t="s">
        <v>36</v>
      </c>
      <c r="F108" s="18" t="s">
        <v>37</v>
      </c>
      <c r="G108" s="42" t="s">
        <v>496</v>
      </c>
      <c r="H108" s="18" t="s">
        <v>497</v>
      </c>
      <c r="I108" s="20" t="s">
        <v>658</v>
      </c>
    </row>
    <row r="109" spans="1:9" ht="15" customHeight="1" x14ac:dyDescent="0.35">
      <c r="A109" s="18">
        <v>105</v>
      </c>
      <c r="B109" s="19" t="s">
        <v>15</v>
      </c>
      <c r="C109" s="19" t="s">
        <v>240</v>
      </c>
      <c r="D109" s="21" t="s">
        <v>244</v>
      </c>
      <c r="E109" s="19" t="s">
        <v>40</v>
      </c>
      <c r="F109" s="18" t="s">
        <v>37</v>
      </c>
      <c r="G109" s="42" t="s">
        <v>496</v>
      </c>
      <c r="H109" s="18" t="s">
        <v>497</v>
      </c>
      <c r="I109" s="20" t="s">
        <v>658</v>
      </c>
    </row>
    <row r="110" spans="1:9" ht="15" customHeight="1" x14ac:dyDescent="0.35">
      <c r="A110" s="18">
        <v>106</v>
      </c>
      <c r="B110" s="19" t="s">
        <v>15</v>
      </c>
      <c r="C110" s="19" t="s">
        <v>240</v>
      </c>
      <c r="D110" s="21" t="s">
        <v>246</v>
      </c>
      <c r="E110" s="19" t="s">
        <v>40</v>
      </c>
      <c r="F110" s="18" t="s">
        <v>37</v>
      </c>
      <c r="G110" s="37" t="s">
        <v>503</v>
      </c>
      <c r="H110" s="18" t="s">
        <v>686</v>
      </c>
      <c r="I110" s="20" t="s">
        <v>687</v>
      </c>
    </row>
    <row r="111" spans="1:9" ht="15" customHeight="1" x14ac:dyDescent="0.35">
      <c r="A111" s="18">
        <v>107</v>
      </c>
      <c r="B111" s="19" t="s">
        <v>15</v>
      </c>
      <c r="C111" s="19" t="s">
        <v>240</v>
      </c>
      <c r="D111" s="21" t="s">
        <v>248</v>
      </c>
      <c r="E111" s="19" t="s">
        <v>40</v>
      </c>
      <c r="F111" s="18" t="s">
        <v>37</v>
      </c>
      <c r="G111" s="42" t="s">
        <v>496</v>
      </c>
      <c r="H111" s="18" t="s">
        <v>497</v>
      </c>
      <c r="I111" s="20" t="s">
        <v>658</v>
      </c>
    </row>
    <row r="112" spans="1:9" ht="15" customHeight="1" x14ac:dyDescent="0.35">
      <c r="A112" s="18">
        <v>108</v>
      </c>
      <c r="B112" s="19" t="s">
        <v>15</v>
      </c>
      <c r="C112" s="19" t="s">
        <v>250</v>
      </c>
      <c r="D112" s="21" t="s">
        <v>35</v>
      </c>
      <c r="E112" s="19" t="s">
        <v>36</v>
      </c>
      <c r="F112" s="18" t="s">
        <v>37</v>
      </c>
      <c r="G112" s="42" t="s">
        <v>496</v>
      </c>
      <c r="H112" s="18" t="s">
        <v>497</v>
      </c>
      <c r="I112" s="20" t="s">
        <v>658</v>
      </c>
    </row>
    <row r="113" spans="1:9" ht="15" customHeight="1" x14ac:dyDescent="0.35">
      <c r="A113" s="18">
        <v>109</v>
      </c>
      <c r="B113" s="19" t="s">
        <v>15</v>
      </c>
      <c r="C113" s="19" t="s">
        <v>250</v>
      </c>
      <c r="D113" s="21" t="s">
        <v>39</v>
      </c>
      <c r="E113" s="19" t="s">
        <v>40</v>
      </c>
      <c r="F113" s="18" t="s">
        <v>37</v>
      </c>
      <c r="G113" s="42" t="s">
        <v>496</v>
      </c>
      <c r="H113" s="18" t="s">
        <v>497</v>
      </c>
      <c r="I113" s="20" t="s">
        <v>658</v>
      </c>
    </row>
    <row r="114" spans="1:9" ht="15" customHeight="1" x14ac:dyDescent="0.35">
      <c r="A114" s="18">
        <v>110</v>
      </c>
      <c r="B114" s="19" t="s">
        <v>15</v>
      </c>
      <c r="C114" s="19" t="s">
        <v>250</v>
      </c>
      <c r="D114" s="21" t="s">
        <v>42</v>
      </c>
      <c r="E114" s="19" t="s">
        <v>43</v>
      </c>
      <c r="F114" s="18" t="s">
        <v>37</v>
      </c>
      <c r="G114" s="37" t="s">
        <v>503</v>
      </c>
      <c r="H114" s="18" t="s">
        <v>659</v>
      </c>
      <c r="I114" s="20" t="s">
        <v>660</v>
      </c>
    </row>
    <row r="115" spans="1:9" ht="15" customHeight="1" x14ac:dyDescent="0.35">
      <c r="A115" s="18">
        <v>111</v>
      </c>
      <c r="B115" s="19" t="s">
        <v>15</v>
      </c>
      <c r="C115" s="19" t="s">
        <v>250</v>
      </c>
      <c r="D115" s="21" t="s">
        <v>45</v>
      </c>
      <c r="E115" s="19" t="s">
        <v>43</v>
      </c>
      <c r="F115" s="18" t="s">
        <v>46</v>
      </c>
      <c r="G115" s="37" t="s">
        <v>503</v>
      </c>
      <c r="H115" s="18" t="s">
        <v>683</v>
      </c>
      <c r="I115" s="20" t="s">
        <v>684</v>
      </c>
    </row>
    <row r="116" spans="1:9" ht="15" customHeight="1" x14ac:dyDescent="0.35">
      <c r="A116" s="18">
        <v>112</v>
      </c>
      <c r="B116" s="19" t="s">
        <v>15</v>
      </c>
      <c r="C116" s="19" t="s">
        <v>250</v>
      </c>
      <c r="D116" s="21" t="s">
        <v>242</v>
      </c>
      <c r="E116" s="19" t="s">
        <v>36</v>
      </c>
      <c r="F116" s="18" t="s">
        <v>37</v>
      </c>
      <c r="G116" s="42" t="s">
        <v>496</v>
      </c>
      <c r="H116" s="18" t="s">
        <v>497</v>
      </c>
      <c r="I116" s="20" t="s">
        <v>658</v>
      </c>
    </row>
    <row r="117" spans="1:9" ht="15" customHeight="1" x14ac:dyDescent="0.35">
      <c r="A117" s="18">
        <v>113</v>
      </c>
      <c r="B117" s="19" t="s">
        <v>15</v>
      </c>
      <c r="C117" s="19" t="s">
        <v>250</v>
      </c>
      <c r="D117" s="21" t="s">
        <v>244</v>
      </c>
      <c r="E117" s="19" t="s">
        <v>40</v>
      </c>
      <c r="F117" s="18" t="s">
        <v>37</v>
      </c>
      <c r="G117" s="42" t="s">
        <v>496</v>
      </c>
      <c r="H117" s="18" t="s">
        <v>497</v>
      </c>
      <c r="I117" s="20" t="s">
        <v>658</v>
      </c>
    </row>
    <row r="118" spans="1:9" ht="15" customHeight="1" x14ac:dyDescent="0.35">
      <c r="A118" s="18">
        <v>114</v>
      </c>
      <c r="B118" s="19" t="s">
        <v>15</v>
      </c>
      <c r="C118" s="19" t="s">
        <v>250</v>
      </c>
      <c r="D118" s="21" t="s">
        <v>246</v>
      </c>
      <c r="E118" s="19" t="s">
        <v>40</v>
      </c>
      <c r="F118" s="18" t="s">
        <v>37</v>
      </c>
      <c r="G118" s="37" t="s">
        <v>503</v>
      </c>
      <c r="H118" s="18" t="s">
        <v>671</v>
      </c>
      <c r="I118" s="20"/>
    </row>
    <row r="119" spans="1:9" ht="15" customHeight="1" x14ac:dyDescent="0.35">
      <c r="A119" s="18">
        <v>115</v>
      </c>
      <c r="B119" s="19" t="s">
        <v>15</v>
      </c>
      <c r="C119" s="19" t="s">
        <v>250</v>
      </c>
      <c r="D119" s="21" t="s">
        <v>248</v>
      </c>
      <c r="E119" s="19" t="s">
        <v>40</v>
      </c>
      <c r="F119" s="18" t="s">
        <v>37</v>
      </c>
      <c r="G119" s="42" t="s">
        <v>496</v>
      </c>
      <c r="H119" s="18" t="s">
        <v>497</v>
      </c>
      <c r="I119" s="20" t="s">
        <v>658</v>
      </c>
    </row>
    <row r="120" spans="1:9" ht="15" customHeight="1" x14ac:dyDescent="0.35">
      <c r="A120" s="18">
        <v>116</v>
      </c>
      <c r="B120" s="19" t="s">
        <v>15</v>
      </c>
      <c r="C120" s="19" t="s">
        <v>250</v>
      </c>
      <c r="D120" s="21" t="s">
        <v>252</v>
      </c>
      <c r="E120" s="19" t="s">
        <v>36</v>
      </c>
      <c r="F120" s="18" t="s">
        <v>37</v>
      </c>
      <c r="G120" s="42" t="s">
        <v>496</v>
      </c>
      <c r="H120" s="18" t="s">
        <v>497</v>
      </c>
      <c r="I120" s="20" t="s">
        <v>688</v>
      </c>
    </row>
    <row r="121" spans="1:9" ht="15" customHeight="1" x14ac:dyDescent="0.35">
      <c r="A121" s="18">
        <v>117</v>
      </c>
      <c r="B121" s="19" t="s">
        <v>15</v>
      </c>
      <c r="C121" s="19" t="s">
        <v>250</v>
      </c>
      <c r="D121" s="21" t="s">
        <v>254</v>
      </c>
      <c r="E121" s="19" t="s">
        <v>40</v>
      </c>
      <c r="F121" s="18" t="s">
        <v>37</v>
      </c>
      <c r="G121" s="42" t="s">
        <v>496</v>
      </c>
      <c r="H121" s="18" t="s">
        <v>497</v>
      </c>
      <c r="I121" s="20" t="s">
        <v>658</v>
      </c>
    </row>
    <row r="122" spans="1:9" ht="15" customHeight="1" x14ac:dyDescent="0.35">
      <c r="A122" s="18">
        <v>118</v>
      </c>
      <c r="B122" s="19" t="s">
        <v>15</v>
      </c>
      <c r="C122" s="19" t="s">
        <v>250</v>
      </c>
      <c r="D122" s="21" t="s">
        <v>256</v>
      </c>
      <c r="E122" s="19" t="s">
        <v>40</v>
      </c>
      <c r="F122" s="18" t="s">
        <v>37</v>
      </c>
      <c r="G122" s="37" t="s">
        <v>503</v>
      </c>
      <c r="H122" s="18" t="s">
        <v>689</v>
      </c>
      <c r="I122" s="20"/>
    </row>
    <row r="123" spans="1:9" ht="15" customHeight="1" x14ac:dyDescent="0.35">
      <c r="A123" s="18">
        <v>119</v>
      </c>
      <c r="B123" s="19" t="s">
        <v>15</v>
      </c>
      <c r="C123" s="19" t="s">
        <v>250</v>
      </c>
      <c r="D123" s="21" t="s">
        <v>258</v>
      </c>
      <c r="E123" s="19" t="s">
        <v>40</v>
      </c>
      <c r="F123" s="18" t="s">
        <v>37</v>
      </c>
      <c r="G123" s="42" t="s">
        <v>496</v>
      </c>
      <c r="H123" s="18" t="s">
        <v>497</v>
      </c>
      <c r="I123" s="20" t="s">
        <v>658</v>
      </c>
    </row>
    <row r="124" spans="1:9" ht="15" customHeight="1" x14ac:dyDescent="0.35">
      <c r="A124" s="18">
        <v>120</v>
      </c>
      <c r="B124" s="19" t="s">
        <v>15</v>
      </c>
      <c r="C124" s="19" t="s">
        <v>250</v>
      </c>
      <c r="D124" s="21" t="s">
        <v>260</v>
      </c>
      <c r="E124" s="19" t="s">
        <v>56</v>
      </c>
      <c r="F124" s="18" t="s">
        <v>57</v>
      </c>
      <c r="G124" s="43" t="s">
        <v>670</v>
      </c>
      <c r="H124" s="18" t="s">
        <v>671</v>
      </c>
      <c r="I124" s="20" t="s">
        <v>690</v>
      </c>
    </row>
    <row r="125" spans="1:9" ht="15" customHeight="1" x14ac:dyDescent="0.35">
      <c r="A125" s="18">
        <v>121</v>
      </c>
      <c r="B125" s="19" t="s">
        <v>15</v>
      </c>
      <c r="C125" s="19" t="s">
        <v>250</v>
      </c>
      <c r="D125" s="21" t="s">
        <v>262</v>
      </c>
      <c r="E125" s="19" t="s">
        <v>56</v>
      </c>
      <c r="F125" s="18" t="s">
        <v>57</v>
      </c>
      <c r="G125" s="43" t="s">
        <v>670</v>
      </c>
      <c r="H125" s="18" t="s">
        <v>671</v>
      </c>
      <c r="I125" s="20" t="s">
        <v>690</v>
      </c>
    </row>
    <row r="126" spans="1:9" ht="15" customHeight="1" x14ac:dyDescent="0.35">
      <c r="A126" s="18">
        <v>122</v>
      </c>
      <c r="B126" s="19" t="s">
        <v>15</v>
      </c>
      <c r="C126" s="19" t="s">
        <v>250</v>
      </c>
      <c r="D126" s="21" t="s">
        <v>264</v>
      </c>
      <c r="E126" s="19" t="s">
        <v>56</v>
      </c>
      <c r="F126" s="18" t="s">
        <v>57</v>
      </c>
      <c r="G126" s="43" t="s">
        <v>670</v>
      </c>
      <c r="H126" s="18" t="s">
        <v>671</v>
      </c>
      <c r="I126" s="20" t="s">
        <v>690</v>
      </c>
    </row>
    <row r="127" spans="1:9" ht="15" customHeight="1" x14ac:dyDescent="0.35">
      <c r="A127" s="18">
        <v>123</v>
      </c>
      <c r="B127" s="19" t="s">
        <v>15</v>
      </c>
      <c r="C127" s="19" t="s">
        <v>250</v>
      </c>
      <c r="D127" s="21" t="s">
        <v>266</v>
      </c>
      <c r="E127" s="19" t="s">
        <v>56</v>
      </c>
      <c r="F127" s="18" t="s">
        <v>57</v>
      </c>
      <c r="G127" s="43" t="s">
        <v>670</v>
      </c>
      <c r="H127" s="18" t="s">
        <v>671</v>
      </c>
      <c r="I127" s="20" t="s">
        <v>690</v>
      </c>
    </row>
    <row r="128" spans="1:9" ht="15" customHeight="1" x14ac:dyDescent="0.35">
      <c r="A128" s="18">
        <v>124</v>
      </c>
      <c r="B128" s="19" t="s">
        <v>15</v>
      </c>
      <c r="C128" s="19" t="s">
        <v>250</v>
      </c>
      <c r="D128" s="21" t="s">
        <v>268</v>
      </c>
      <c r="E128" s="19" t="s">
        <v>56</v>
      </c>
      <c r="F128" s="18" t="s">
        <v>57</v>
      </c>
      <c r="G128" s="43" t="s">
        <v>670</v>
      </c>
      <c r="H128" s="18" t="s">
        <v>671</v>
      </c>
      <c r="I128" s="20" t="s">
        <v>690</v>
      </c>
    </row>
    <row r="129" spans="1:9" ht="23.25" customHeight="1" x14ac:dyDescent="0.35">
      <c r="A129" s="18">
        <v>125</v>
      </c>
      <c r="B129" s="19" t="s">
        <v>15</v>
      </c>
      <c r="C129" s="19" t="s">
        <v>250</v>
      </c>
      <c r="D129" s="21" t="s">
        <v>270</v>
      </c>
      <c r="E129" s="19" t="s">
        <v>271</v>
      </c>
      <c r="F129" s="18" t="s">
        <v>57</v>
      </c>
      <c r="G129" s="37" t="s">
        <v>503</v>
      </c>
      <c r="H129" s="18" t="s">
        <v>691</v>
      </c>
      <c r="I129" s="20" t="s">
        <v>692</v>
      </c>
    </row>
    <row r="130" spans="1:9" ht="15" customHeight="1" x14ac:dyDescent="0.35">
      <c r="A130" s="18">
        <v>126</v>
      </c>
      <c r="B130" s="19" t="s">
        <v>15</v>
      </c>
      <c r="C130" s="19" t="s">
        <v>273</v>
      </c>
      <c r="D130" s="21" t="s">
        <v>35</v>
      </c>
      <c r="E130" s="19" t="s">
        <v>36</v>
      </c>
      <c r="F130" s="18" t="s">
        <v>37</v>
      </c>
      <c r="G130" s="42" t="s">
        <v>496</v>
      </c>
      <c r="H130" s="18" t="s">
        <v>497</v>
      </c>
      <c r="I130" s="20" t="s">
        <v>658</v>
      </c>
    </row>
    <row r="131" spans="1:9" ht="15" customHeight="1" x14ac:dyDescent="0.35">
      <c r="A131" s="18">
        <v>127</v>
      </c>
      <c r="B131" s="19" t="s">
        <v>15</v>
      </c>
      <c r="C131" s="19" t="s">
        <v>273</v>
      </c>
      <c r="D131" s="21" t="s">
        <v>39</v>
      </c>
      <c r="E131" s="19" t="s">
        <v>40</v>
      </c>
      <c r="F131" s="18" t="s">
        <v>37</v>
      </c>
      <c r="G131" s="42" t="s">
        <v>496</v>
      </c>
      <c r="H131" s="18" t="s">
        <v>497</v>
      </c>
      <c r="I131" s="20" t="s">
        <v>658</v>
      </c>
    </row>
    <row r="132" spans="1:9" ht="15" customHeight="1" x14ac:dyDescent="0.35">
      <c r="A132" s="18">
        <v>128</v>
      </c>
      <c r="B132" s="19" t="s">
        <v>15</v>
      </c>
      <c r="C132" s="19" t="s">
        <v>273</v>
      </c>
      <c r="D132" s="21" t="s">
        <v>42</v>
      </c>
      <c r="E132" s="19" t="s">
        <v>43</v>
      </c>
      <c r="F132" s="18" t="s">
        <v>37</v>
      </c>
      <c r="G132" s="37" t="s">
        <v>503</v>
      </c>
      <c r="H132" s="18" t="s">
        <v>659</v>
      </c>
      <c r="I132" s="20" t="s">
        <v>660</v>
      </c>
    </row>
    <row r="133" spans="1:9" ht="15" customHeight="1" x14ac:dyDescent="0.35">
      <c r="A133" s="18">
        <v>129</v>
      </c>
      <c r="B133" s="19" t="s">
        <v>15</v>
      </c>
      <c r="C133" s="19" t="s">
        <v>273</v>
      </c>
      <c r="D133" s="21" t="s">
        <v>45</v>
      </c>
      <c r="E133" s="19" t="s">
        <v>43</v>
      </c>
      <c r="F133" s="18" t="s">
        <v>46</v>
      </c>
      <c r="G133" s="37" t="s">
        <v>503</v>
      </c>
      <c r="H133" s="18" t="s">
        <v>683</v>
      </c>
      <c r="I133" s="20" t="s">
        <v>684</v>
      </c>
    </row>
    <row r="134" spans="1:9" ht="15" customHeight="1" x14ac:dyDescent="0.35">
      <c r="A134" s="18">
        <v>130</v>
      </c>
      <c r="B134" s="19" t="s">
        <v>15</v>
      </c>
      <c r="C134" s="19" t="s">
        <v>273</v>
      </c>
      <c r="D134" s="21" t="s">
        <v>275</v>
      </c>
      <c r="E134" s="19" t="s">
        <v>36</v>
      </c>
      <c r="F134" s="18" t="s">
        <v>37</v>
      </c>
      <c r="G134" s="42" t="s">
        <v>496</v>
      </c>
      <c r="H134" s="18" t="s">
        <v>497</v>
      </c>
      <c r="I134" s="20" t="s">
        <v>658</v>
      </c>
    </row>
    <row r="135" spans="1:9" ht="15" customHeight="1" x14ac:dyDescent="0.35">
      <c r="A135" s="18">
        <v>131</v>
      </c>
      <c r="B135" s="19" t="s">
        <v>15</v>
      </c>
      <c r="C135" s="19" t="s">
        <v>273</v>
      </c>
      <c r="D135" s="21" t="s">
        <v>277</v>
      </c>
      <c r="E135" s="19" t="s">
        <v>40</v>
      </c>
      <c r="F135" s="18" t="s">
        <v>37</v>
      </c>
      <c r="G135" s="42" t="s">
        <v>496</v>
      </c>
      <c r="H135" s="18" t="s">
        <v>497</v>
      </c>
      <c r="I135" s="20" t="s">
        <v>658</v>
      </c>
    </row>
    <row r="136" spans="1:9" ht="15" customHeight="1" x14ac:dyDescent="0.35">
      <c r="A136" s="18">
        <v>132</v>
      </c>
      <c r="B136" s="19" t="s">
        <v>15</v>
      </c>
      <c r="C136" s="19" t="s">
        <v>273</v>
      </c>
      <c r="D136" s="21" t="s">
        <v>279</v>
      </c>
      <c r="E136" s="19" t="s">
        <v>40</v>
      </c>
      <c r="F136" s="18" t="s">
        <v>37</v>
      </c>
      <c r="G136" s="42" t="s">
        <v>496</v>
      </c>
      <c r="H136" s="18" t="s">
        <v>497</v>
      </c>
      <c r="I136" s="20" t="s">
        <v>688</v>
      </c>
    </row>
    <row r="137" spans="1:9" ht="15" customHeight="1" x14ac:dyDescent="0.35">
      <c r="A137" s="18">
        <v>133</v>
      </c>
      <c r="B137" s="19" t="s">
        <v>15</v>
      </c>
      <c r="C137" s="19" t="s">
        <v>273</v>
      </c>
      <c r="D137" s="21" t="s">
        <v>281</v>
      </c>
      <c r="E137" s="19" t="s">
        <v>40</v>
      </c>
      <c r="F137" s="18" t="s">
        <v>37</v>
      </c>
      <c r="G137" s="42" t="s">
        <v>496</v>
      </c>
      <c r="H137" s="18" t="s">
        <v>497</v>
      </c>
      <c r="I137" s="20" t="s">
        <v>658</v>
      </c>
    </row>
    <row r="138" spans="1:9" ht="15" customHeight="1" x14ac:dyDescent="0.35">
      <c r="A138" s="18">
        <v>134</v>
      </c>
      <c r="B138" s="19" t="s">
        <v>15</v>
      </c>
      <c r="C138" s="19" t="s">
        <v>273</v>
      </c>
      <c r="D138" s="21" t="s">
        <v>283</v>
      </c>
      <c r="E138" s="19" t="s">
        <v>56</v>
      </c>
      <c r="F138" s="18" t="s">
        <v>57</v>
      </c>
      <c r="G138" s="42" t="s">
        <v>496</v>
      </c>
      <c r="H138" s="18" t="s">
        <v>497</v>
      </c>
      <c r="I138" s="20" t="s">
        <v>693</v>
      </c>
    </row>
    <row r="139" spans="1:9" ht="23.25" customHeight="1" x14ac:dyDescent="0.35">
      <c r="A139" s="18">
        <v>135</v>
      </c>
      <c r="B139" s="19" t="s">
        <v>15</v>
      </c>
      <c r="C139" s="19" t="s">
        <v>273</v>
      </c>
      <c r="D139" s="21" t="s">
        <v>285</v>
      </c>
      <c r="E139" s="19" t="s">
        <v>286</v>
      </c>
      <c r="F139" s="18" t="s">
        <v>57</v>
      </c>
      <c r="G139" s="42" t="s">
        <v>496</v>
      </c>
      <c r="H139" s="18" t="s">
        <v>497</v>
      </c>
      <c r="I139" s="20" t="s">
        <v>694</v>
      </c>
    </row>
    <row r="140" spans="1:9" ht="15" customHeight="1" x14ac:dyDescent="0.35">
      <c r="A140" s="18">
        <v>136</v>
      </c>
      <c r="B140" s="19" t="s">
        <v>15</v>
      </c>
      <c r="C140" s="19" t="s">
        <v>273</v>
      </c>
      <c r="D140" s="21" t="s">
        <v>288</v>
      </c>
      <c r="E140" s="19" t="s">
        <v>289</v>
      </c>
      <c r="F140" s="18" t="s">
        <v>57</v>
      </c>
      <c r="G140" s="42" t="s">
        <v>496</v>
      </c>
      <c r="H140" s="18" t="s">
        <v>497</v>
      </c>
      <c r="I140" s="20" t="s">
        <v>695</v>
      </c>
    </row>
    <row r="141" spans="1:9" ht="15" customHeight="1" x14ac:dyDescent="0.35">
      <c r="A141" s="18">
        <v>137</v>
      </c>
      <c r="B141" s="19" t="s">
        <v>15</v>
      </c>
      <c r="C141" s="19" t="s">
        <v>273</v>
      </c>
      <c r="D141" s="21" t="s">
        <v>270</v>
      </c>
      <c r="E141" s="19" t="s">
        <v>271</v>
      </c>
      <c r="F141" s="18" t="s">
        <v>50</v>
      </c>
      <c r="G141" s="36" t="s">
        <v>593</v>
      </c>
      <c r="H141" s="18" t="s">
        <v>696</v>
      </c>
      <c r="I141" s="20" t="s">
        <v>697</v>
      </c>
    </row>
    <row r="142" spans="1:9" ht="15" customHeight="1" x14ac:dyDescent="0.35">
      <c r="A142" s="18">
        <v>138</v>
      </c>
      <c r="B142" s="19" t="s">
        <v>15</v>
      </c>
      <c r="C142" s="19" t="s">
        <v>273</v>
      </c>
      <c r="D142" s="21" t="s">
        <v>291</v>
      </c>
      <c r="E142" s="19" t="s">
        <v>56</v>
      </c>
      <c r="F142" s="18" t="s">
        <v>57</v>
      </c>
      <c r="G142" s="36" t="s">
        <v>593</v>
      </c>
      <c r="H142" s="18" t="s">
        <v>696</v>
      </c>
      <c r="I142" s="20"/>
    </row>
    <row r="143" spans="1:9" ht="15" customHeight="1" x14ac:dyDescent="0.35">
      <c r="A143" s="18">
        <v>139</v>
      </c>
      <c r="B143" s="19" t="s">
        <v>15</v>
      </c>
      <c r="C143" s="19" t="s">
        <v>273</v>
      </c>
      <c r="D143" s="21" t="s">
        <v>293</v>
      </c>
      <c r="E143" s="19" t="s">
        <v>56</v>
      </c>
      <c r="F143" s="18" t="s">
        <v>57</v>
      </c>
      <c r="G143" s="36" t="s">
        <v>593</v>
      </c>
      <c r="H143" s="18" t="s">
        <v>696</v>
      </c>
      <c r="I143" s="20"/>
    </row>
    <row r="144" spans="1:9" ht="15" customHeight="1" x14ac:dyDescent="0.35">
      <c r="A144" s="18">
        <v>140</v>
      </c>
      <c r="B144" s="19" t="s">
        <v>15</v>
      </c>
      <c r="C144" s="19" t="s">
        <v>273</v>
      </c>
      <c r="D144" s="21" t="s">
        <v>295</v>
      </c>
      <c r="E144" s="19" t="s">
        <v>56</v>
      </c>
      <c r="F144" s="18" t="s">
        <v>57</v>
      </c>
      <c r="G144" s="36" t="s">
        <v>593</v>
      </c>
      <c r="H144" s="18" t="s">
        <v>696</v>
      </c>
      <c r="I144" s="20"/>
    </row>
    <row r="145" spans="1:9" ht="15" customHeight="1" x14ac:dyDescent="0.35">
      <c r="A145" s="18">
        <v>141</v>
      </c>
      <c r="B145" s="19" t="s">
        <v>15</v>
      </c>
      <c r="C145" s="19" t="s">
        <v>273</v>
      </c>
      <c r="D145" s="21" t="s">
        <v>297</v>
      </c>
      <c r="E145" s="19" t="s">
        <v>56</v>
      </c>
      <c r="F145" s="18" t="s">
        <v>57</v>
      </c>
      <c r="G145" s="36" t="s">
        <v>593</v>
      </c>
      <c r="H145" s="18" t="s">
        <v>696</v>
      </c>
      <c r="I145" s="20"/>
    </row>
    <row r="146" spans="1:9" ht="15" customHeight="1" x14ac:dyDescent="0.35">
      <c r="A146" s="18">
        <v>142</v>
      </c>
      <c r="B146" s="19" t="s">
        <v>15</v>
      </c>
      <c r="C146" s="19" t="s">
        <v>273</v>
      </c>
      <c r="D146" s="21" t="s">
        <v>299</v>
      </c>
      <c r="E146" s="19" t="s">
        <v>56</v>
      </c>
      <c r="F146" s="18" t="s">
        <v>57</v>
      </c>
      <c r="G146" s="36" t="s">
        <v>593</v>
      </c>
      <c r="H146" s="18" t="s">
        <v>696</v>
      </c>
      <c r="I146" s="20"/>
    </row>
    <row r="147" spans="1:9" ht="15" customHeight="1" x14ac:dyDescent="0.35">
      <c r="A147" s="18">
        <v>143</v>
      </c>
      <c r="B147" s="19" t="s">
        <v>15</v>
      </c>
      <c r="C147" s="19" t="s">
        <v>273</v>
      </c>
      <c r="D147" s="21" t="s">
        <v>59</v>
      </c>
      <c r="E147" s="19" t="s">
        <v>56</v>
      </c>
      <c r="F147" s="18" t="s">
        <v>57</v>
      </c>
      <c r="G147" s="42" t="s">
        <v>496</v>
      </c>
      <c r="H147" s="18" t="s">
        <v>497</v>
      </c>
      <c r="I147" s="20" t="s">
        <v>658</v>
      </c>
    </row>
    <row r="148" spans="1:9" ht="15" customHeight="1" x14ac:dyDescent="0.35">
      <c r="A148" s="18">
        <v>144</v>
      </c>
      <c r="B148" s="19" t="s">
        <v>16</v>
      </c>
      <c r="C148" s="19" t="s">
        <v>304</v>
      </c>
      <c r="D148" s="21" t="s">
        <v>305</v>
      </c>
      <c r="E148" s="19" t="s">
        <v>36</v>
      </c>
      <c r="F148" s="18" t="s">
        <v>37</v>
      </c>
      <c r="G148" s="42" t="s">
        <v>496</v>
      </c>
      <c r="H148" s="18" t="s">
        <v>497</v>
      </c>
      <c r="I148" s="20" t="s">
        <v>658</v>
      </c>
    </row>
    <row r="149" spans="1:9" ht="15" customHeight="1" x14ac:dyDescent="0.35">
      <c r="A149" s="18">
        <v>145</v>
      </c>
      <c r="B149" s="19" t="s">
        <v>16</v>
      </c>
      <c r="C149" s="19" t="s">
        <v>304</v>
      </c>
      <c r="D149" s="21" t="s">
        <v>39</v>
      </c>
      <c r="E149" s="19" t="s">
        <v>40</v>
      </c>
      <c r="F149" s="18" t="s">
        <v>37</v>
      </c>
      <c r="G149" s="42" t="s">
        <v>496</v>
      </c>
      <c r="H149" s="18" t="s">
        <v>497</v>
      </c>
      <c r="I149" s="20" t="s">
        <v>658</v>
      </c>
    </row>
    <row r="150" spans="1:9" ht="15" customHeight="1" x14ac:dyDescent="0.35">
      <c r="A150" s="18">
        <v>146</v>
      </c>
      <c r="B150" s="19" t="s">
        <v>16</v>
      </c>
      <c r="C150" s="19" t="s">
        <v>304</v>
      </c>
      <c r="D150" s="21" t="s">
        <v>42</v>
      </c>
      <c r="E150" s="19" t="s">
        <v>43</v>
      </c>
      <c r="F150" s="18" t="s">
        <v>37</v>
      </c>
      <c r="G150" s="42" t="s">
        <v>496</v>
      </c>
      <c r="H150" s="18" t="s">
        <v>497</v>
      </c>
      <c r="I150" s="20" t="s">
        <v>658</v>
      </c>
    </row>
    <row r="151" spans="1:9" ht="15" customHeight="1" x14ac:dyDescent="0.35">
      <c r="A151" s="18">
        <v>147</v>
      </c>
      <c r="B151" s="19" t="s">
        <v>16</v>
      </c>
      <c r="C151" s="19" t="s">
        <v>304</v>
      </c>
      <c r="D151" s="21" t="s">
        <v>45</v>
      </c>
      <c r="E151" s="19" t="s">
        <v>309</v>
      </c>
      <c r="F151" s="18" t="s">
        <v>46</v>
      </c>
      <c r="G151" s="37" t="s">
        <v>503</v>
      </c>
      <c r="H151" s="18" t="s">
        <v>698</v>
      </c>
      <c r="I151" s="20" t="s">
        <v>699</v>
      </c>
    </row>
    <row r="152" spans="1:9" ht="15" customHeight="1" x14ac:dyDescent="0.35">
      <c r="A152" s="18">
        <v>148</v>
      </c>
      <c r="B152" s="19" t="s">
        <v>16</v>
      </c>
      <c r="C152" s="19" t="s">
        <v>304</v>
      </c>
      <c r="D152" s="21" t="s">
        <v>311</v>
      </c>
      <c r="E152" s="19" t="s">
        <v>40</v>
      </c>
      <c r="F152" s="18" t="s">
        <v>50</v>
      </c>
      <c r="G152" s="42" t="s">
        <v>496</v>
      </c>
      <c r="H152" s="18" t="s">
        <v>497</v>
      </c>
      <c r="I152" s="20" t="s">
        <v>688</v>
      </c>
    </row>
    <row r="153" spans="1:9" ht="15" customHeight="1" x14ac:dyDescent="0.35">
      <c r="A153" s="18">
        <v>149</v>
      </c>
      <c r="B153" s="19" t="s">
        <v>16</v>
      </c>
      <c r="C153" s="19" t="s">
        <v>304</v>
      </c>
      <c r="D153" s="21" t="s">
        <v>313</v>
      </c>
      <c r="E153" s="19" t="s">
        <v>56</v>
      </c>
      <c r="F153" s="18" t="s">
        <v>57</v>
      </c>
      <c r="G153" s="43" t="s">
        <v>670</v>
      </c>
      <c r="H153" s="18" t="s">
        <v>689</v>
      </c>
      <c r="I153" s="20" t="s">
        <v>700</v>
      </c>
    </row>
    <row r="154" spans="1:9" ht="15" customHeight="1" x14ac:dyDescent="0.35">
      <c r="A154" s="18">
        <v>150</v>
      </c>
      <c r="B154" s="19" t="s">
        <v>16</v>
      </c>
      <c r="C154" s="19" t="s">
        <v>304</v>
      </c>
      <c r="D154" s="21" t="s">
        <v>315</v>
      </c>
      <c r="E154" s="19" t="s">
        <v>316</v>
      </c>
      <c r="F154" s="18" t="s">
        <v>50</v>
      </c>
      <c r="G154" s="36" t="s">
        <v>593</v>
      </c>
      <c r="H154" s="18" t="s">
        <v>701</v>
      </c>
      <c r="I154" s="20" t="s">
        <v>702</v>
      </c>
    </row>
    <row r="155" spans="1:9" ht="15" customHeight="1" x14ac:dyDescent="0.35">
      <c r="A155" s="18">
        <v>151</v>
      </c>
      <c r="B155" s="19" t="s">
        <v>16</v>
      </c>
      <c r="C155" s="19" t="s">
        <v>304</v>
      </c>
      <c r="D155" s="21" t="s">
        <v>318</v>
      </c>
      <c r="E155" s="19" t="s">
        <v>319</v>
      </c>
      <c r="F155" s="18" t="s">
        <v>50</v>
      </c>
      <c r="G155" s="36" t="s">
        <v>593</v>
      </c>
      <c r="H155" s="18" t="s">
        <v>701</v>
      </c>
      <c r="I155" s="20" t="s">
        <v>702</v>
      </c>
    </row>
    <row r="156" spans="1:9" ht="15" customHeight="1" x14ac:dyDescent="0.35">
      <c r="A156" s="18">
        <v>152</v>
      </c>
      <c r="B156" s="19" t="s">
        <v>16</v>
      </c>
      <c r="C156" s="19" t="s">
        <v>304</v>
      </c>
      <c r="D156" s="21" t="s">
        <v>321</v>
      </c>
      <c r="E156" s="19" t="s">
        <v>316</v>
      </c>
      <c r="F156" s="18" t="s">
        <v>50</v>
      </c>
      <c r="G156" s="36" t="s">
        <v>593</v>
      </c>
      <c r="H156" s="18" t="s">
        <v>703</v>
      </c>
      <c r="I156" s="20" t="s">
        <v>704</v>
      </c>
    </row>
    <row r="157" spans="1:9" ht="15" customHeight="1" x14ac:dyDescent="0.35">
      <c r="A157" s="18">
        <v>153</v>
      </c>
      <c r="B157" s="19" t="s">
        <v>16</v>
      </c>
      <c r="C157" s="19" t="s">
        <v>304</v>
      </c>
      <c r="D157" s="21" t="s">
        <v>252</v>
      </c>
      <c r="E157" s="19" t="s">
        <v>36</v>
      </c>
      <c r="F157" s="18" t="s">
        <v>37</v>
      </c>
      <c r="G157" s="42" t="s">
        <v>496</v>
      </c>
      <c r="H157" s="18" t="s">
        <v>497</v>
      </c>
      <c r="I157" s="20" t="s">
        <v>688</v>
      </c>
    </row>
    <row r="158" spans="1:9" ht="15" customHeight="1" x14ac:dyDescent="0.35">
      <c r="A158" s="18">
        <v>154</v>
      </c>
      <c r="B158" s="19" t="s">
        <v>16</v>
      </c>
      <c r="C158" s="19" t="s">
        <v>304</v>
      </c>
      <c r="D158" s="21" t="s">
        <v>254</v>
      </c>
      <c r="E158" s="19" t="s">
        <v>40</v>
      </c>
      <c r="F158" s="18" t="s">
        <v>37</v>
      </c>
      <c r="G158" s="42" t="s">
        <v>496</v>
      </c>
      <c r="H158" s="18" t="s">
        <v>497</v>
      </c>
      <c r="I158" s="20" t="s">
        <v>658</v>
      </c>
    </row>
    <row r="159" spans="1:9" ht="15" customHeight="1" x14ac:dyDescent="0.35">
      <c r="A159" s="18">
        <v>155</v>
      </c>
      <c r="B159" s="19" t="s">
        <v>16</v>
      </c>
      <c r="C159" s="19" t="s">
        <v>304</v>
      </c>
      <c r="D159" s="21" t="s">
        <v>256</v>
      </c>
      <c r="E159" s="19" t="s">
        <v>40</v>
      </c>
      <c r="F159" s="18" t="s">
        <v>37</v>
      </c>
      <c r="G159" s="37" t="s">
        <v>503</v>
      </c>
      <c r="H159" s="18" t="s">
        <v>689</v>
      </c>
      <c r="I159" s="20"/>
    </row>
    <row r="160" spans="1:9" ht="15" customHeight="1" x14ac:dyDescent="0.35">
      <c r="A160" s="18">
        <v>156</v>
      </c>
      <c r="B160" s="19" t="s">
        <v>16</v>
      </c>
      <c r="C160" s="19" t="s">
        <v>304</v>
      </c>
      <c r="D160" s="21" t="s">
        <v>258</v>
      </c>
      <c r="E160" s="19" t="s">
        <v>40</v>
      </c>
      <c r="F160" s="18" t="s">
        <v>37</v>
      </c>
      <c r="G160" s="42" t="s">
        <v>496</v>
      </c>
      <c r="H160" s="18" t="s">
        <v>497</v>
      </c>
      <c r="I160" s="20" t="s">
        <v>658</v>
      </c>
    </row>
    <row r="161" spans="1:9" ht="15" customHeight="1" x14ac:dyDescent="0.35">
      <c r="A161" s="18">
        <v>157</v>
      </c>
      <c r="B161" s="19" t="s">
        <v>16</v>
      </c>
      <c r="C161" s="19" t="s">
        <v>304</v>
      </c>
      <c r="D161" s="21" t="s">
        <v>62</v>
      </c>
      <c r="E161" s="19" t="s">
        <v>36</v>
      </c>
      <c r="F161" s="18" t="s">
        <v>37</v>
      </c>
      <c r="G161" s="42" t="s">
        <v>496</v>
      </c>
      <c r="H161" s="18" t="s">
        <v>497</v>
      </c>
      <c r="I161" s="20" t="s">
        <v>658</v>
      </c>
    </row>
    <row r="162" spans="1:9" ht="15" customHeight="1" x14ac:dyDescent="0.35">
      <c r="A162" s="18">
        <v>158</v>
      </c>
      <c r="B162" s="19" t="s">
        <v>16</v>
      </c>
      <c r="C162" s="19" t="s">
        <v>304</v>
      </c>
      <c r="D162" s="21" t="s">
        <v>64</v>
      </c>
      <c r="E162" s="19" t="s">
        <v>40</v>
      </c>
      <c r="F162" s="18" t="s">
        <v>37</v>
      </c>
      <c r="G162" s="42" t="s">
        <v>496</v>
      </c>
      <c r="H162" s="18" t="s">
        <v>497</v>
      </c>
      <c r="I162" s="20" t="s">
        <v>658</v>
      </c>
    </row>
    <row r="163" spans="1:9" ht="15" customHeight="1" x14ac:dyDescent="0.35">
      <c r="A163" s="18">
        <v>159</v>
      </c>
      <c r="B163" s="19" t="s">
        <v>16</v>
      </c>
      <c r="C163" s="19" t="s">
        <v>304</v>
      </c>
      <c r="D163" s="21" t="s">
        <v>66</v>
      </c>
      <c r="E163" s="19" t="s">
        <v>40</v>
      </c>
      <c r="F163" s="18" t="s">
        <v>37</v>
      </c>
      <c r="G163" s="37" t="s">
        <v>503</v>
      </c>
      <c r="H163" s="18" t="s">
        <v>659</v>
      </c>
      <c r="I163" s="20"/>
    </row>
    <row r="164" spans="1:9" ht="15" customHeight="1" x14ac:dyDescent="0.35">
      <c r="A164" s="18">
        <v>160</v>
      </c>
      <c r="B164" s="19" t="s">
        <v>16</v>
      </c>
      <c r="C164" s="19" t="s">
        <v>304</v>
      </c>
      <c r="D164" s="21" t="s">
        <v>68</v>
      </c>
      <c r="E164" s="19" t="s">
        <v>40</v>
      </c>
      <c r="F164" s="18" t="s">
        <v>37</v>
      </c>
      <c r="G164" s="42" t="s">
        <v>496</v>
      </c>
      <c r="H164" s="18" t="s">
        <v>497</v>
      </c>
      <c r="I164" s="20" t="s">
        <v>658</v>
      </c>
    </row>
    <row r="165" spans="1:9" ht="15" customHeight="1" x14ac:dyDescent="0.35">
      <c r="A165" s="18">
        <v>161</v>
      </c>
      <c r="B165" s="19" t="s">
        <v>16</v>
      </c>
      <c r="C165" s="19" t="s">
        <v>304</v>
      </c>
      <c r="D165" s="21" t="s">
        <v>324</v>
      </c>
      <c r="E165" s="19" t="s">
        <v>325</v>
      </c>
      <c r="F165" s="18" t="s">
        <v>57</v>
      </c>
      <c r="G165" s="37" t="s">
        <v>503</v>
      </c>
      <c r="H165" s="18" t="s">
        <v>661</v>
      </c>
      <c r="I165" s="20"/>
    </row>
    <row r="166" spans="1:9" ht="15" customHeight="1" x14ac:dyDescent="0.35">
      <c r="A166" s="18">
        <v>162</v>
      </c>
      <c r="B166" s="19" t="s">
        <v>16</v>
      </c>
      <c r="C166" s="19" t="s">
        <v>304</v>
      </c>
      <c r="D166" s="21" t="s">
        <v>328</v>
      </c>
      <c r="E166" s="19" t="s">
        <v>36</v>
      </c>
      <c r="F166" s="18" t="s">
        <v>37</v>
      </c>
      <c r="G166" s="42" t="s">
        <v>496</v>
      </c>
      <c r="H166" s="18" t="s">
        <v>497</v>
      </c>
      <c r="I166" s="20" t="s">
        <v>658</v>
      </c>
    </row>
    <row r="167" spans="1:9" ht="15" customHeight="1" x14ac:dyDescent="0.35">
      <c r="A167" s="18">
        <v>163</v>
      </c>
      <c r="B167" s="19" t="s">
        <v>16</v>
      </c>
      <c r="C167" s="19" t="s">
        <v>304</v>
      </c>
      <c r="D167" s="21" t="s">
        <v>330</v>
      </c>
      <c r="E167" s="19" t="s">
        <v>40</v>
      </c>
      <c r="F167" s="18" t="s">
        <v>37</v>
      </c>
      <c r="G167" s="42" t="s">
        <v>496</v>
      </c>
      <c r="H167" s="18" t="s">
        <v>497</v>
      </c>
      <c r="I167" s="20" t="s">
        <v>658</v>
      </c>
    </row>
    <row r="168" spans="1:9" ht="15" customHeight="1" x14ac:dyDescent="0.35">
      <c r="A168" s="18">
        <v>164</v>
      </c>
      <c r="B168" s="19" t="s">
        <v>16</v>
      </c>
      <c r="C168" s="19" t="s">
        <v>304</v>
      </c>
      <c r="D168" s="21" t="s">
        <v>332</v>
      </c>
      <c r="E168" s="19" t="s">
        <v>40</v>
      </c>
      <c r="F168" s="18" t="s">
        <v>37</v>
      </c>
      <c r="G168" s="37" t="s">
        <v>503</v>
      </c>
      <c r="H168" s="18" t="s">
        <v>661</v>
      </c>
      <c r="I168" s="20"/>
    </row>
    <row r="169" spans="1:9" ht="15" customHeight="1" x14ac:dyDescent="0.35">
      <c r="A169" s="18">
        <v>165</v>
      </c>
      <c r="B169" s="19" t="s">
        <v>16</v>
      </c>
      <c r="C169" s="19" t="s">
        <v>304</v>
      </c>
      <c r="D169" s="21" t="s">
        <v>334</v>
      </c>
      <c r="E169" s="19" t="s">
        <v>40</v>
      </c>
      <c r="F169" s="18" t="s">
        <v>37</v>
      </c>
      <c r="G169" s="42" t="s">
        <v>496</v>
      </c>
      <c r="H169" s="18" t="s">
        <v>497</v>
      </c>
      <c r="I169" s="20" t="s">
        <v>658</v>
      </c>
    </row>
    <row r="170" spans="1:9" ht="15" customHeight="1" x14ac:dyDescent="0.35">
      <c r="A170" s="18">
        <v>166</v>
      </c>
      <c r="B170" s="19" t="s">
        <v>16</v>
      </c>
      <c r="C170" s="19" t="s">
        <v>304</v>
      </c>
      <c r="D170" s="21" t="s">
        <v>336</v>
      </c>
      <c r="E170" s="19" t="s">
        <v>316</v>
      </c>
      <c r="F170" s="18" t="s">
        <v>57</v>
      </c>
      <c r="G170" s="43" t="s">
        <v>670</v>
      </c>
      <c r="H170" s="18" t="s">
        <v>705</v>
      </c>
      <c r="I170" s="20"/>
    </row>
    <row r="171" spans="1:9" ht="15" customHeight="1" x14ac:dyDescent="0.35">
      <c r="A171" s="18">
        <v>167</v>
      </c>
      <c r="B171" s="19" t="s">
        <v>16</v>
      </c>
      <c r="C171" s="19" t="s">
        <v>304</v>
      </c>
      <c r="D171" s="21" t="s">
        <v>338</v>
      </c>
      <c r="E171" s="19" t="s">
        <v>36</v>
      </c>
      <c r="F171" s="18" t="s">
        <v>37</v>
      </c>
      <c r="G171" s="42" t="s">
        <v>496</v>
      </c>
      <c r="H171" s="18" t="s">
        <v>497</v>
      </c>
      <c r="I171" s="20" t="s">
        <v>658</v>
      </c>
    </row>
    <row r="172" spans="1:9" ht="15" customHeight="1" x14ac:dyDescent="0.35">
      <c r="A172" s="18">
        <v>168</v>
      </c>
      <c r="B172" s="19" t="s">
        <v>16</v>
      </c>
      <c r="C172" s="19" t="s">
        <v>304</v>
      </c>
      <c r="D172" s="21" t="s">
        <v>340</v>
      </c>
      <c r="E172" s="19" t="s">
        <v>40</v>
      </c>
      <c r="F172" s="18" t="s">
        <v>37</v>
      </c>
      <c r="G172" s="42" t="s">
        <v>496</v>
      </c>
      <c r="H172" s="18" t="s">
        <v>497</v>
      </c>
      <c r="I172" s="20" t="s">
        <v>658</v>
      </c>
    </row>
    <row r="173" spans="1:9" ht="15" customHeight="1" x14ac:dyDescent="0.35">
      <c r="A173" s="18">
        <v>169</v>
      </c>
      <c r="B173" s="19" t="s">
        <v>16</v>
      </c>
      <c r="C173" s="19" t="s">
        <v>304</v>
      </c>
      <c r="D173" s="21" t="s">
        <v>342</v>
      </c>
      <c r="E173" s="19" t="s">
        <v>40</v>
      </c>
      <c r="F173" s="18" t="s">
        <v>37</v>
      </c>
      <c r="G173" s="37" t="s">
        <v>503</v>
      </c>
      <c r="H173" s="18" t="s">
        <v>661</v>
      </c>
      <c r="I173" s="20"/>
    </row>
    <row r="174" spans="1:9" ht="15" customHeight="1" x14ac:dyDescent="0.35">
      <c r="A174" s="18">
        <v>170</v>
      </c>
      <c r="B174" s="19" t="s">
        <v>16</v>
      </c>
      <c r="C174" s="19" t="s">
        <v>304</v>
      </c>
      <c r="D174" s="21" t="s">
        <v>344</v>
      </c>
      <c r="E174" s="19" t="s">
        <v>40</v>
      </c>
      <c r="F174" s="18" t="s">
        <v>37</v>
      </c>
      <c r="G174" s="42" t="s">
        <v>496</v>
      </c>
      <c r="H174" s="18" t="s">
        <v>497</v>
      </c>
      <c r="I174" s="20" t="s">
        <v>658</v>
      </c>
    </row>
    <row r="175" spans="1:9" ht="15" customHeight="1" x14ac:dyDescent="0.35">
      <c r="A175" s="18">
        <v>171</v>
      </c>
      <c r="B175" s="19" t="s">
        <v>16</v>
      </c>
      <c r="C175" s="19" t="s">
        <v>304</v>
      </c>
      <c r="D175" s="21" t="s">
        <v>346</v>
      </c>
      <c r="E175" s="19" t="s">
        <v>56</v>
      </c>
      <c r="F175" s="18" t="s">
        <v>57</v>
      </c>
      <c r="G175" s="43" t="s">
        <v>670</v>
      </c>
      <c r="H175" s="18" t="s">
        <v>703</v>
      </c>
      <c r="I175" s="20" t="s">
        <v>706</v>
      </c>
    </row>
    <row r="176" spans="1:9" ht="15" customHeight="1" x14ac:dyDescent="0.35">
      <c r="A176" s="18">
        <v>172</v>
      </c>
      <c r="B176" s="19" t="s">
        <v>16</v>
      </c>
      <c r="C176" s="19" t="s">
        <v>304</v>
      </c>
      <c r="D176" s="21" t="s">
        <v>349</v>
      </c>
      <c r="E176" s="19" t="s">
        <v>56</v>
      </c>
      <c r="F176" s="18" t="s">
        <v>57</v>
      </c>
      <c r="G176" s="37" t="s">
        <v>503</v>
      </c>
      <c r="H176" s="18" t="s">
        <v>671</v>
      </c>
      <c r="I176" s="20" t="s">
        <v>707</v>
      </c>
    </row>
    <row r="177" spans="1:9" ht="15" customHeight="1" x14ac:dyDescent="0.35">
      <c r="A177" s="18">
        <v>173</v>
      </c>
      <c r="B177" s="19" t="s">
        <v>16</v>
      </c>
      <c r="C177" s="19" t="s">
        <v>304</v>
      </c>
      <c r="D177" s="21" t="s">
        <v>351</v>
      </c>
      <c r="E177" s="19" t="s">
        <v>56</v>
      </c>
      <c r="F177" s="18" t="s">
        <v>57</v>
      </c>
      <c r="G177" s="37" t="s">
        <v>503</v>
      </c>
      <c r="H177" s="18" t="s">
        <v>671</v>
      </c>
      <c r="I177" s="20" t="s">
        <v>708</v>
      </c>
    </row>
    <row r="178" spans="1:9" ht="15" customHeight="1" x14ac:dyDescent="0.35">
      <c r="A178" s="18">
        <v>174</v>
      </c>
      <c r="B178" s="19" t="s">
        <v>16</v>
      </c>
      <c r="C178" s="19" t="s">
        <v>304</v>
      </c>
      <c r="D178" s="21" t="s">
        <v>353</v>
      </c>
      <c r="E178" s="19" t="s">
        <v>354</v>
      </c>
      <c r="F178" s="18" t="s">
        <v>57</v>
      </c>
      <c r="G178" s="42" t="s">
        <v>496</v>
      </c>
      <c r="H178" s="18" t="s">
        <v>497</v>
      </c>
      <c r="I178" s="20" t="s">
        <v>709</v>
      </c>
    </row>
    <row r="179" spans="1:9" ht="15" customHeight="1" x14ac:dyDescent="0.35">
      <c r="A179" s="18">
        <v>175</v>
      </c>
      <c r="B179" s="19" t="s">
        <v>16</v>
      </c>
      <c r="C179" s="19" t="s">
        <v>304</v>
      </c>
      <c r="D179" s="21" t="s">
        <v>357</v>
      </c>
      <c r="E179" s="19" t="s">
        <v>56</v>
      </c>
      <c r="F179" s="18" t="s">
        <v>57</v>
      </c>
      <c r="G179" s="37" t="s">
        <v>503</v>
      </c>
      <c r="H179" s="18" t="s">
        <v>671</v>
      </c>
      <c r="I179" s="20" t="s">
        <v>710</v>
      </c>
    </row>
    <row r="180" spans="1:9" ht="15" customHeight="1" x14ac:dyDescent="0.35">
      <c r="A180" s="18">
        <v>176</v>
      </c>
      <c r="B180" s="19" t="s">
        <v>16</v>
      </c>
      <c r="C180" s="19" t="s">
        <v>304</v>
      </c>
      <c r="D180" s="21" t="s">
        <v>359</v>
      </c>
      <c r="E180" s="19" t="s">
        <v>56</v>
      </c>
      <c r="F180" s="18" t="s">
        <v>57</v>
      </c>
      <c r="G180" s="37" t="s">
        <v>503</v>
      </c>
      <c r="H180" s="18" t="s">
        <v>671</v>
      </c>
      <c r="I180" s="20" t="s">
        <v>710</v>
      </c>
    </row>
    <row r="181" spans="1:9" ht="15" customHeight="1" x14ac:dyDescent="0.35">
      <c r="A181" s="18">
        <v>177</v>
      </c>
      <c r="B181" s="19" t="s">
        <v>16</v>
      </c>
      <c r="C181" s="19" t="s">
        <v>304</v>
      </c>
      <c r="D181" s="21" t="s">
        <v>361</v>
      </c>
      <c r="E181" s="19" t="s">
        <v>56</v>
      </c>
      <c r="F181" s="18" t="s">
        <v>57</v>
      </c>
      <c r="G181" s="37" t="s">
        <v>503</v>
      </c>
      <c r="H181" s="18" t="s">
        <v>671</v>
      </c>
      <c r="I181" s="20" t="s">
        <v>710</v>
      </c>
    </row>
    <row r="182" spans="1:9" ht="15" customHeight="1" x14ac:dyDescent="0.35">
      <c r="A182" s="18">
        <v>178</v>
      </c>
      <c r="B182" s="19" t="s">
        <v>16</v>
      </c>
      <c r="C182" s="19" t="s">
        <v>304</v>
      </c>
      <c r="D182" s="21" t="s">
        <v>363</v>
      </c>
      <c r="E182" s="19" t="s">
        <v>56</v>
      </c>
      <c r="F182" s="18" t="s">
        <v>57</v>
      </c>
      <c r="G182" s="37" t="s">
        <v>503</v>
      </c>
      <c r="H182" s="18" t="s">
        <v>671</v>
      </c>
      <c r="I182" s="20" t="s">
        <v>710</v>
      </c>
    </row>
    <row r="183" spans="1:9" ht="15" customHeight="1" x14ac:dyDescent="0.35">
      <c r="A183" s="18">
        <v>179</v>
      </c>
      <c r="B183" s="19" t="s">
        <v>16</v>
      </c>
      <c r="C183" s="19" t="s">
        <v>304</v>
      </c>
      <c r="D183" s="21" t="s">
        <v>365</v>
      </c>
      <c r="E183" s="19" t="s">
        <v>56</v>
      </c>
      <c r="F183" s="18" t="s">
        <v>57</v>
      </c>
      <c r="G183" s="37" t="s">
        <v>503</v>
      </c>
      <c r="H183" s="18" t="s">
        <v>671</v>
      </c>
      <c r="I183" s="20" t="s">
        <v>710</v>
      </c>
    </row>
    <row r="184" spans="1:9" ht="15" customHeight="1" x14ac:dyDescent="0.35">
      <c r="A184" s="18">
        <v>180</v>
      </c>
      <c r="B184" s="19" t="s">
        <v>16</v>
      </c>
      <c r="C184" s="19" t="s">
        <v>304</v>
      </c>
      <c r="D184" s="21" t="s">
        <v>42</v>
      </c>
      <c r="E184" s="19" t="s">
        <v>43</v>
      </c>
      <c r="F184" s="18" t="s">
        <v>37</v>
      </c>
      <c r="G184" s="42" t="s">
        <v>496</v>
      </c>
      <c r="H184" s="18" t="s">
        <v>497</v>
      </c>
      <c r="I184" s="20" t="s">
        <v>658</v>
      </c>
    </row>
    <row r="185" spans="1:9" ht="15" customHeight="1" x14ac:dyDescent="0.35">
      <c r="A185" s="18">
        <v>181</v>
      </c>
      <c r="B185" s="19" t="s">
        <v>16</v>
      </c>
      <c r="C185" s="19" t="s">
        <v>304</v>
      </c>
      <c r="D185" s="21" t="s">
        <v>59</v>
      </c>
      <c r="E185" s="19" t="s">
        <v>56</v>
      </c>
      <c r="F185" s="18" t="s">
        <v>57</v>
      </c>
      <c r="G185" s="42" t="s">
        <v>496</v>
      </c>
      <c r="H185" s="18" t="s">
        <v>497</v>
      </c>
      <c r="I185" s="20" t="s">
        <v>658</v>
      </c>
    </row>
    <row r="186" spans="1:9" ht="15" customHeight="1" x14ac:dyDescent="0.35">
      <c r="A186" s="18">
        <v>182</v>
      </c>
      <c r="B186" s="19" t="s">
        <v>16</v>
      </c>
      <c r="C186" s="19" t="s">
        <v>367</v>
      </c>
      <c r="D186" s="21" t="s">
        <v>305</v>
      </c>
      <c r="E186" s="19" t="s">
        <v>36</v>
      </c>
      <c r="F186" s="18" t="s">
        <v>37</v>
      </c>
      <c r="G186" s="42" t="s">
        <v>496</v>
      </c>
      <c r="H186" s="18" t="s">
        <v>497</v>
      </c>
      <c r="I186" s="20" t="s">
        <v>658</v>
      </c>
    </row>
    <row r="187" spans="1:9" ht="15" customHeight="1" x14ac:dyDescent="0.35">
      <c r="A187" s="18">
        <v>183</v>
      </c>
      <c r="B187" s="19" t="s">
        <v>16</v>
      </c>
      <c r="C187" s="19" t="s">
        <v>367</v>
      </c>
      <c r="D187" s="21" t="s">
        <v>39</v>
      </c>
      <c r="E187" s="19" t="s">
        <v>40</v>
      </c>
      <c r="F187" s="18" t="s">
        <v>37</v>
      </c>
      <c r="G187" s="42" t="s">
        <v>496</v>
      </c>
      <c r="H187" s="18" t="s">
        <v>497</v>
      </c>
      <c r="I187" s="20" t="s">
        <v>658</v>
      </c>
    </row>
    <row r="188" spans="1:9" ht="15" customHeight="1" x14ac:dyDescent="0.35">
      <c r="A188" s="18">
        <v>184</v>
      </c>
      <c r="B188" s="19" t="s">
        <v>16</v>
      </c>
      <c r="C188" s="19" t="s">
        <v>367</v>
      </c>
      <c r="D188" s="21" t="s">
        <v>42</v>
      </c>
      <c r="E188" s="19" t="s">
        <v>43</v>
      </c>
      <c r="F188" s="18" t="s">
        <v>37</v>
      </c>
      <c r="G188" s="42" t="s">
        <v>496</v>
      </c>
      <c r="H188" s="18" t="s">
        <v>497</v>
      </c>
      <c r="I188" s="20" t="s">
        <v>658</v>
      </c>
    </row>
    <row r="189" spans="1:9" ht="15" customHeight="1" x14ac:dyDescent="0.35">
      <c r="A189" s="18">
        <v>185</v>
      </c>
      <c r="B189" s="19" t="s">
        <v>16</v>
      </c>
      <c r="C189" s="19" t="s">
        <v>367</v>
      </c>
      <c r="D189" s="21" t="s">
        <v>45</v>
      </c>
      <c r="E189" s="19" t="s">
        <v>309</v>
      </c>
      <c r="F189" s="18" t="s">
        <v>46</v>
      </c>
      <c r="G189" s="37" t="s">
        <v>503</v>
      </c>
      <c r="H189" s="18" t="s">
        <v>683</v>
      </c>
      <c r="I189" s="20" t="s">
        <v>684</v>
      </c>
    </row>
    <row r="190" spans="1:9" ht="15" customHeight="1" x14ac:dyDescent="0.35">
      <c r="A190" s="18">
        <v>186</v>
      </c>
      <c r="B190" s="19" t="s">
        <v>16</v>
      </c>
      <c r="C190" s="19" t="s">
        <v>367</v>
      </c>
      <c r="D190" s="21" t="s">
        <v>35</v>
      </c>
      <c r="E190" s="19" t="s">
        <v>36</v>
      </c>
      <c r="F190" s="18" t="s">
        <v>37</v>
      </c>
      <c r="G190" s="42" t="s">
        <v>496</v>
      </c>
      <c r="H190" s="18" t="s">
        <v>497</v>
      </c>
      <c r="I190" s="20" t="s">
        <v>658</v>
      </c>
    </row>
    <row r="191" spans="1:9" ht="15" customHeight="1" x14ac:dyDescent="0.35">
      <c r="A191" s="18">
        <v>187</v>
      </c>
      <c r="B191" s="19" t="s">
        <v>16</v>
      </c>
      <c r="C191" s="19" t="s">
        <v>367</v>
      </c>
      <c r="D191" s="21" t="s">
        <v>39</v>
      </c>
      <c r="E191" s="19" t="s">
        <v>40</v>
      </c>
      <c r="F191" s="18" t="s">
        <v>37</v>
      </c>
      <c r="G191" s="42" t="s">
        <v>496</v>
      </c>
      <c r="H191" s="18" t="s">
        <v>497</v>
      </c>
      <c r="I191" s="20" t="s">
        <v>658</v>
      </c>
    </row>
    <row r="192" spans="1:9" ht="15" customHeight="1" x14ac:dyDescent="0.35">
      <c r="A192" s="18">
        <v>188</v>
      </c>
      <c r="B192" s="19" t="s">
        <v>16</v>
      </c>
      <c r="C192" s="19" t="s">
        <v>367</v>
      </c>
      <c r="D192" s="21" t="s">
        <v>42</v>
      </c>
      <c r="E192" s="19" t="s">
        <v>43</v>
      </c>
      <c r="F192" s="18" t="s">
        <v>37</v>
      </c>
      <c r="G192" s="42" t="s">
        <v>496</v>
      </c>
      <c r="H192" s="18" t="s">
        <v>497</v>
      </c>
      <c r="I192" s="20" t="s">
        <v>658</v>
      </c>
    </row>
    <row r="193" spans="1:9" ht="15" customHeight="1" x14ac:dyDescent="0.35">
      <c r="A193" s="18">
        <v>189</v>
      </c>
      <c r="B193" s="19" t="s">
        <v>16</v>
      </c>
      <c r="C193" s="19" t="s">
        <v>367</v>
      </c>
      <c r="D193" s="21" t="s">
        <v>45</v>
      </c>
      <c r="E193" s="19" t="s">
        <v>43</v>
      </c>
      <c r="F193" s="18" t="s">
        <v>46</v>
      </c>
      <c r="G193" s="37" t="s">
        <v>503</v>
      </c>
      <c r="H193" s="18" t="s">
        <v>683</v>
      </c>
      <c r="I193" s="20" t="s">
        <v>684</v>
      </c>
    </row>
    <row r="194" spans="1:9" ht="15" customHeight="1" x14ac:dyDescent="0.35">
      <c r="A194" s="18">
        <v>190</v>
      </c>
      <c r="B194" s="19" t="s">
        <v>16</v>
      </c>
      <c r="C194" s="19" t="s">
        <v>367</v>
      </c>
      <c r="D194" s="21" t="s">
        <v>369</v>
      </c>
      <c r="E194" s="19" t="s">
        <v>316</v>
      </c>
      <c r="F194" s="18" t="s">
        <v>57</v>
      </c>
      <c r="G194" s="37" t="s">
        <v>503</v>
      </c>
      <c r="H194" s="18" t="s">
        <v>661</v>
      </c>
      <c r="I194" s="20" t="s">
        <v>711</v>
      </c>
    </row>
    <row r="195" spans="1:9" ht="15" customHeight="1" x14ac:dyDescent="0.35">
      <c r="A195" s="18">
        <v>191</v>
      </c>
      <c r="B195" s="19" t="s">
        <v>16</v>
      </c>
      <c r="C195" s="19" t="s">
        <v>367</v>
      </c>
      <c r="D195" s="21" t="s">
        <v>71</v>
      </c>
      <c r="E195" s="19" t="s">
        <v>36</v>
      </c>
      <c r="F195" s="18" t="s">
        <v>37</v>
      </c>
      <c r="G195" s="42" t="s">
        <v>496</v>
      </c>
      <c r="H195" s="18" t="s">
        <v>497</v>
      </c>
      <c r="I195" s="20" t="s">
        <v>658</v>
      </c>
    </row>
    <row r="196" spans="1:9" ht="15" customHeight="1" x14ac:dyDescent="0.35">
      <c r="A196" s="18">
        <v>192</v>
      </c>
      <c r="B196" s="19" t="s">
        <v>16</v>
      </c>
      <c r="C196" s="19" t="s">
        <v>367</v>
      </c>
      <c r="D196" s="21" t="s">
        <v>73</v>
      </c>
      <c r="E196" s="19" t="s">
        <v>40</v>
      </c>
      <c r="F196" s="18" t="s">
        <v>37</v>
      </c>
      <c r="G196" s="42" t="s">
        <v>496</v>
      </c>
      <c r="H196" s="18" t="s">
        <v>497</v>
      </c>
      <c r="I196" s="20" t="s">
        <v>658</v>
      </c>
    </row>
    <row r="197" spans="1:9" ht="15" customHeight="1" x14ac:dyDescent="0.35">
      <c r="A197" s="18">
        <v>193</v>
      </c>
      <c r="B197" s="19" t="s">
        <v>16</v>
      </c>
      <c r="C197" s="19" t="s">
        <v>367</v>
      </c>
      <c r="D197" s="21" t="s">
        <v>75</v>
      </c>
      <c r="E197" s="19" t="s">
        <v>40</v>
      </c>
      <c r="F197" s="18" t="s">
        <v>37</v>
      </c>
      <c r="G197" s="37" t="s">
        <v>503</v>
      </c>
      <c r="H197" s="18" t="s">
        <v>661</v>
      </c>
      <c r="I197" s="20"/>
    </row>
    <row r="198" spans="1:9" ht="15" customHeight="1" x14ac:dyDescent="0.35">
      <c r="A198" s="18">
        <v>194</v>
      </c>
      <c r="B198" s="19" t="s">
        <v>16</v>
      </c>
      <c r="C198" s="19" t="s">
        <v>367</v>
      </c>
      <c r="D198" s="21" t="s">
        <v>77</v>
      </c>
      <c r="E198" s="19" t="s">
        <v>40</v>
      </c>
      <c r="F198" s="18" t="s">
        <v>37</v>
      </c>
      <c r="G198" s="42" t="s">
        <v>496</v>
      </c>
      <c r="H198" s="18" t="s">
        <v>497</v>
      </c>
      <c r="I198" s="20" t="s">
        <v>658</v>
      </c>
    </row>
    <row r="199" spans="1:9" ht="15" customHeight="1" x14ac:dyDescent="0.35">
      <c r="A199" s="18">
        <v>195</v>
      </c>
      <c r="B199" s="19" t="s">
        <v>16</v>
      </c>
      <c r="C199" s="19" t="s">
        <v>372</v>
      </c>
      <c r="D199" s="21" t="s">
        <v>305</v>
      </c>
      <c r="E199" s="19" t="s">
        <v>36</v>
      </c>
      <c r="F199" s="18" t="s">
        <v>37</v>
      </c>
      <c r="G199" s="42" t="s">
        <v>496</v>
      </c>
      <c r="H199" s="18" t="s">
        <v>497</v>
      </c>
      <c r="I199" s="20" t="s">
        <v>658</v>
      </c>
    </row>
    <row r="200" spans="1:9" ht="15" customHeight="1" x14ac:dyDescent="0.35">
      <c r="A200" s="18">
        <v>196</v>
      </c>
      <c r="B200" s="19" t="s">
        <v>16</v>
      </c>
      <c r="C200" s="19" t="s">
        <v>372</v>
      </c>
      <c r="D200" s="21" t="s">
        <v>39</v>
      </c>
      <c r="E200" s="19" t="s">
        <v>40</v>
      </c>
      <c r="F200" s="18" t="s">
        <v>37</v>
      </c>
      <c r="G200" s="42" t="s">
        <v>496</v>
      </c>
      <c r="H200" s="18" t="s">
        <v>497</v>
      </c>
      <c r="I200" s="20" t="s">
        <v>658</v>
      </c>
    </row>
    <row r="201" spans="1:9" ht="15" customHeight="1" x14ac:dyDescent="0.35">
      <c r="A201" s="18">
        <v>197</v>
      </c>
      <c r="B201" s="19" t="s">
        <v>16</v>
      </c>
      <c r="C201" s="19" t="s">
        <v>372</v>
      </c>
      <c r="D201" s="21" t="s">
        <v>42</v>
      </c>
      <c r="E201" s="19" t="s">
        <v>43</v>
      </c>
      <c r="F201" s="18" t="s">
        <v>37</v>
      </c>
      <c r="G201" s="42" t="s">
        <v>496</v>
      </c>
      <c r="H201" s="18" t="s">
        <v>497</v>
      </c>
      <c r="I201" s="20" t="s">
        <v>658</v>
      </c>
    </row>
    <row r="202" spans="1:9" ht="15" customHeight="1" x14ac:dyDescent="0.35">
      <c r="A202" s="18">
        <v>198</v>
      </c>
      <c r="B202" s="19" t="s">
        <v>16</v>
      </c>
      <c r="C202" s="19" t="s">
        <v>372</v>
      </c>
      <c r="D202" s="21" t="s">
        <v>45</v>
      </c>
      <c r="E202" s="19" t="s">
        <v>309</v>
      </c>
      <c r="F202" s="18" t="s">
        <v>46</v>
      </c>
      <c r="G202" s="37" t="s">
        <v>503</v>
      </c>
      <c r="H202" s="18" t="s">
        <v>683</v>
      </c>
      <c r="I202" s="20" t="s">
        <v>684</v>
      </c>
    </row>
    <row r="203" spans="1:9" ht="15" customHeight="1" x14ac:dyDescent="0.35">
      <c r="A203" s="18">
        <v>199</v>
      </c>
      <c r="B203" s="19" t="s">
        <v>16</v>
      </c>
      <c r="C203" s="19" t="s">
        <v>372</v>
      </c>
      <c r="D203" s="21" t="s">
        <v>374</v>
      </c>
      <c r="E203" s="19" t="s">
        <v>36</v>
      </c>
      <c r="F203" s="18" t="s">
        <v>37</v>
      </c>
      <c r="G203" s="42" t="s">
        <v>496</v>
      </c>
      <c r="H203" s="18" t="s">
        <v>497</v>
      </c>
      <c r="I203" s="20" t="s">
        <v>658</v>
      </c>
    </row>
    <row r="204" spans="1:9" ht="15" customHeight="1" x14ac:dyDescent="0.35">
      <c r="A204" s="18">
        <v>200</v>
      </c>
      <c r="B204" s="19" t="s">
        <v>16</v>
      </c>
      <c r="C204" s="19" t="s">
        <v>372</v>
      </c>
      <c r="D204" s="21" t="s">
        <v>376</v>
      </c>
      <c r="E204" s="19" t="s">
        <v>40</v>
      </c>
      <c r="F204" s="18" t="s">
        <v>37</v>
      </c>
      <c r="G204" s="42" t="s">
        <v>496</v>
      </c>
      <c r="H204" s="18" t="s">
        <v>497</v>
      </c>
      <c r="I204" s="20" t="s">
        <v>658</v>
      </c>
    </row>
    <row r="205" spans="1:9" ht="15" customHeight="1" x14ac:dyDescent="0.35">
      <c r="A205" s="18">
        <v>201</v>
      </c>
      <c r="B205" s="19" t="s">
        <v>16</v>
      </c>
      <c r="C205" s="19" t="s">
        <v>372</v>
      </c>
      <c r="D205" s="21" t="s">
        <v>378</v>
      </c>
      <c r="E205" s="19" t="s">
        <v>40</v>
      </c>
      <c r="F205" s="18" t="s">
        <v>37</v>
      </c>
      <c r="G205" s="43" t="s">
        <v>670</v>
      </c>
      <c r="H205" s="18" t="s">
        <v>712</v>
      </c>
      <c r="I205" s="20" t="s">
        <v>713</v>
      </c>
    </row>
    <row r="206" spans="1:9" ht="15" customHeight="1" x14ac:dyDescent="0.35">
      <c r="A206" s="18">
        <v>202</v>
      </c>
      <c r="B206" s="19" t="s">
        <v>16</v>
      </c>
      <c r="C206" s="19" t="s">
        <v>372</v>
      </c>
      <c r="D206" s="21" t="s">
        <v>380</v>
      </c>
      <c r="E206" s="19" t="s">
        <v>40</v>
      </c>
      <c r="F206" s="18" t="s">
        <v>37</v>
      </c>
      <c r="G206" s="42" t="s">
        <v>496</v>
      </c>
      <c r="H206" s="18" t="s">
        <v>497</v>
      </c>
      <c r="I206" s="20" t="s">
        <v>658</v>
      </c>
    </row>
    <row r="207" spans="1:9" ht="15" customHeight="1" x14ac:dyDescent="0.35">
      <c r="A207" s="18">
        <v>203</v>
      </c>
      <c r="B207" s="19" t="s">
        <v>16</v>
      </c>
      <c r="C207" s="19" t="s">
        <v>372</v>
      </c>
      <c r="D207" s="21" t="s">
        <v>59</v>
      </c>
      <c r="E207" s="19" t="s">
        <v>56</v>
      </c>
      <c r="F207" s="18" t="s">
        <v>57</v>
      </c>
      <c r="G207" s="42" t="s">
        <v>496</v>
      </c>
      <c r="H207" s="18" t="s">
        <v>497</v>
      </c>
      <c r="I207" s="20" t="s">
        <v>658</v>
      </c>
    </row>
    <row r="208" spans="1:9" ht="15" customHeight="1" x14ac:dyDescent="0.35">
      <c r="A208" s="18">
        <v>204</v>
      </c>
      <c r="B208" s="19" t="s">
        <v>16</v>
      </c>
      <c r="C208" s="19" t="s">
        <v>382</v>
      </c>
      <c r="D208" s="21" t="s">
        <v>305</v>
      </c>
      <c r="E208" s="19" t="s">
        <v>36</v>
      </c>
      <c r="F208" s="18" t="s">
        <v>37</v>
      </c>
      <c r="G208" s="42" t="s">
        <v>496</v>
      </c>
      <c r="H208" s="18" t="s">
        <v>497</v>
      </c>
      <c r="I208" s="20" t="s">
        <v>658</v>
      </c>
    </row>
    <row r="209" spans="1:9" ht="15" customHeight="1" x14ac:dyDescent="0.35">
      <c r="A209" s="18">
        <v>205</v>
      </c>
      <c r="B209" s="19" t="s">
        <v>16</v>
      </c>
      <c r="C209" s="19" t="s">
        <v>382</v>
      </c>
      <c r="D209" s="21" t="s">
        <v>39</v>
      </c>
      <c r="E209" s="19" t="s">
        <v>40</v>
      </c>
      <c r="F209" s="18" t="s">
        <v>37</v>
      </c>
      <c r="G209" s="42" t="s">
        <v>496</v>
      </c>
      <c r="H209" s="18" t="s">
        <v>497</v>
      </c>
      <c r="I209" s="20" t="s">
        <v>658</v>
      </c>
    </row>
    <row r="210" spans="1:9" ht="15" customHeight="1" x14ac:dyDescent="0.35">
      <c r="A210" s="18">
        <v>206</v>
      </c>
      <c r="B210" s="19" t="s">
        <v>16</v>
      </c>
      <c r="C210" s="19" t="s">
        <v>382</v>
      </c>
      <c r="D210" s="21" t="s">
        <v>42</v>
      </c>
      <c r="E210" s="19" t="s">
        <v>43</v>
      </c>
      <c r="F210" s="18" t="s">
        <v>37</v>
      </c>
      <c r="G210" s="42" t="s">
        <v>496</v>
      </c>
      <c r="H210" s="18" t="s">
        <v>497</v>
      </c>
      <c r="I210" s="20" t="s">
        <v>658</v>
      </c>
    </row>
    <row r="211" spans="1:9" ht="15" customHeight="1" x14ac:dyDescent="0.35">
      <c r="A211" s="18">
        <v>207</v>
      </c>
      <c r="B211" s="19" t="s">
        <v>16</v>
      </c>
      <c r="C211" s="19" t="s">
        <v>382</v>
      </c>
      <c r="D211" s="21" t="s">
        <v>45</v>
      </c>
      <c r="E211" s="19" t="s">
        <v>309</v>
      </c>
      <c r="F211" s="18" t="s">
        <v>46</v>
      </c>
      <c r="G211" s="37" t="s">
        <v>503</v>
      </c>
      <c r="H211" s="18" t="s">
        <v>683</v>
      </c>
      <c r="I211" s="20" t="s">
        <v>684</v>
      </c>
    </row>
    <row r="212" spans="1:9" ht="15" customHeight="1" x14ac:dyDescent="0.35">
      <c r="A212" s="18">
        <v>208</v>
      </c>
      <c r="B212" s="19" t="s">
        <v>16</v>
      </c>
      <c r="C212" s="19" t="s">
        <v>382</v>
      </c>
      <c r="D212" s="21" t="s">
        <v>232</v>
      </c>
      <c r="E212" s="19" t="s">
        <v>36</v>
      </c>
      <c r="F212" s="18" t="s">
        <v>37</v>
      </c>
      <c r="G212" s="42" t="s">
        <v>496</v>
      </c>
      <c r="H212" s="18" t="s">
        <v>497</v>
      </c>
      <c r="I212" s="20" t="s">
        <v>658</v>
      </c>
    </row>
    <row r="213" spans="1:9" ht="15" customHeight="1" x14ac:dyDescent="0.35">
      <c r="A213" s="18">
        <v>209</v>
      </c>
      <c r="B213" s="19" t="s">
        <v>16</v>
      </c>
      <c r="C213" s="19" t="s">
        <v>382</v>
      </c>
      <c r="D213" s="21" t="s">
        <v>234</v>
      </c>
      <c r="E213" s="19" t="s">
        <v>40</v>
      </c>
      <c r="F213" s="18" t="s">
        <v>37</v>
      </c>
      <c r="G213" s="42" t="s">
        <v>496</v>
      </c>
      <c r="H213" s="18" t="s">
        <v>497</v>
      </c>
      <c r="I213" s="20" t="s">
        <v>658</v>
      </c>
    </row>
    <row r="214" spans="1:9" ht="15" customHeight="1" x14ac:dyDescent="0.35">
      <c r="A214" s="18">
        <v>210</v>
      </c>
      <c r="B214" s="19" t="s">
        <v>16</v>
      </c>
      <c r="C214" s="19" t="s">
        <v>382</v>
      </c>
      <c r="D214" s="21" t="s">
        <v>236</v>
      </c>
      <c r="E214" s="19" t="s">
        <v>40</v>
      </c>
      <c r="F214" s="18" t="s">
        <v>37</v>
      </c>
      <c r="G214" s="43" t="s">
        <v>670</v>
      </c>
      <c r="H214" s="18" t="s">
        <v>671</v>
      </c>
      <c r="I214" s="20"/>
    </row>
    <row r="215" spans="1:9" ht="15" customHeight="1" x14ac:dyDescent="0.35">
      <c r="A215" s="18">
        <v>211</v>
      </c>
      <c r="B215" s="19" t="s">
        <v>16</v>
      </c>
      <c r="C215" s="19" t="s">
        <v>382</v>
      </c>
      <c r="D215" s="21" t="s">
        <v>238</v>
      </c>
      <c r="E215" s="19" t="s">
        <v>40</v>
      </c>
      <c r="F215" s="18" t="s">
        <v>37</v>
      </c>
      <c r="G215" s="42" t="s">
        <v>496</v>
      </c>
      <c r="H215" s="18" t="s">
        <v>497</v>
      </c>
      <c r="I215" s="20" t="s">
        <v>658</v>
      </c>
    </row>
    <row r="216" spans="1:9" ht="15" customHeight="1" x14ac:dyDescent="0.35">
      <c r="A216" s="18">
        <v>212</v>
      </c>
      <c r="B216" s="19" t="s">
        <v>16</v>
      </c>
      <c r="C216" s="19" t="s">
        <v>382</v>
      </c>
      <c r="D216" s="21" t="s">
        <v>383</v>
      </c>
      <c r="E216" s="19" t="s">
        <v>384</v>
      </c>
      <c r="F216" s="18" t="s">
        <v>50</v>
      </c>
      <c r="G216" s="36" t="s">
        <v>593</v>
      </c>
      <c r="H216" s="18" t="s">
        <v>714</v>
      </c>
      <c r="I216" s="20" t="s">
        <v>715</v>
      </c>
    </row>
    <row r="217" spans="1:9" ht="15" customHeight="1" x14ac:dyDescent="0.35">
      <c r="A217" s="18">
        <v>213</v>
      </c>
      <c r="B217" s="19" t="s">
        <v>16</v>
      </c>
      <c r="C217" s="19" t="s">
        <v>386</v>
      </c>
      <c r="D217" s="21" t="s">
        <v>305</v>
      </c>
      <c r="E217" s="19" t="s">
        <v>36</v>
      </c>
      <c r="F217" s="18" t="s">
        <v>37</v>
      </c>
      <c r="G217" s="42" t="s">
        <v>496</v>
      </c>
      <c r="H217" s="18" t="s">
        <v>497</v>
      </c>
      <c r="I217" s="20" t="s">
        <v>658</v>
      </c>
    </row>
    <row r="218" spans="1:9" ht="15" customHeight="1" x14ac:dyDescent="0.35">
      <c r="A218" s="18">
        <v>214</v>
      </c>
      <c r="B218" s="19" t="s">
        <v>16</v>
      </c>
      <c r="C218" s="19" t="s">
        <v>386</v>
      </c>
      <c r="D218" s="21" t="s">
        <v>39</v>
      </c>
      <c r="E218" s="19" t="s">
        <v>40</v>
      </c>
      <c r="F218" s="18" t="s">
        <v>37</v>
      </c>
      <c r="G218" s="42" t="s">
        <v>496</v>
      </c>
      <c r="H218" s="18" t="s">
        <v>497</v>
      </c>
      <c r="I218" s="20" t="s">
        <v>658</v>
      </c>
    </row>
    <row r="219" spans="1:9" ht="15" customHeight="1" x14ac:dyDescent="0.35">
      <c r="A219" s="18">
        <v>215</v>
      </c>
      <c r="B219" s="19" t="s">
        <v>16</v>
      </c>
      <c r="C219" s="19" t="s">
        <v>386</v>
      </c>
      <c r="D219" s="21" t="s">
        <v>42</v>
      </c>
      <c r="E219" s="19" t="s">
        <v>43</v>
      </c>
      <c r="F219" s="18" t="s">
        <v>37</v>
      </c>
      <c r="G219" s="42" t="s">
        <v>496</v>
      </c>
      <c r="H219" s="18" t="s">
        <v>497</v>
      </c>
      <c r="I219" s="20" t="s">
        <v>658</v>
      </c>
    </row>
    <row r="220" spans="1:9" ht="15" customHeight="1" x14ac:dyDescent="0.35">
      <c r="A220" s="18">
        <v>216</v>
      </c>
      <c r="B220" s="19" t="s">
        <v>16</v>
      </c>
      <c r="C220" s="19" t="s">
        <v>386</v>
      </c>
      <c r="D220" s="21" t="s">
        <v>45</v>
      </c>
      <c r="E220" s="19" t="s">
        <v>309</v>
      </c>
      <c r="F220" s="18" t="s">
        <v>46</v>
      </c>
      <c r="G220" s="37" t="s">
        <v>503</v>
      </c>
      <c r="H220" s="18" t="s">
        <v>683</v>
      </c>
      <c r="I220" s="20" t="s">
        <v>684</v>
      </c>
    </row>
    <row r="221" spans="1:9" ht="15" customHeight="1" x14ac:dyDescent="0.35">
      <c r="A221" s="18">
        <v>217</v>
      </c>
      <c r="B221" s="19" t="s">
        <v>16</v>
      </c>
      <c r="C221" s="19" t="s">
        <v>386</v>
      </c>
      <c r="D221" s="21" t="s">
        <v>242</v>
      </c>
      <c r="E221" s="19" t="s">
        <v>36</v>
      </c>
      <c r="F221" s="18" t="s">
        <v>37</v>
      </c>
      <c r="G221" s="42" t="s">
        <v>496</v>
      </c>
      <c r="H221" s="18" t="s">
        <v>497</v>
      </c>
      <c r="I221" s="20" t="s">
        <v>658</v>
      </c>
    </row>
    <row r="222" spans="1:9" ht="15" customHeight="1" x14ac:dyDescent="0.35">
      <c r="A222" s="18">
        <v>218</v>
      </c>
      <c r="B222" s="19" t="s">
        <v>16</v>
      </c>
      <c r="C222" s="19" t="s">
        <v>386</v>
      </c>
      <c r="D222" s="21" t="s">
        <v>244</v>
      </c>
      <c r="E222" s="19" t="s">
        <v>40</v>
      </c>
      <c r="F222" s="18" t="s">
        <v>37</v>
      </c>
      <c r="G222" s="42" t="s">
        <v>496</v>
      </c>
      <c r="H222" s="18" t="s">
        <v>497</v>
      </c>
      <c r="I222" s="20" t="s">
        <v>658</v>
      </c>
    </row>
    <row r="223" spans="1:9" ht="15" customHeight="1" x14ac:dyDescent="0.35">
      <c r="A223" s="18">
        <v>219</v>
      </c>
      <c r="B223" s="19" t="s">
        <v>16</v>
      </c>
      <c r="C223" s="19" t="s">
        <v>386</v>
      </c>
      <c r="D223" s="21" t="s">
        <v>246</v>
      </c>
      <c r="E223" s="19" t="s">
        <v>40</v>
      </c>
      <c r="F223" s="18" t="s">
        <v>37</v>
      </c>
      <c r="G223" s="37" t="s">
        <v>503</v>
      </c>
      <c r="H223" s="18" t="s">
        <v>671</v>
      </c>
      <c r="I223" s="20"/>
    </row>
    <row r="224" spans="1:9" ht="15" customHeight="1" x14ac:dyDescent="0.35">
      <c r="A224" s="18">
        <v>220</v>
      </c>
      <c r="B224" s="19" t="s">
        <v>16</v>
      </c>
      <c r="C224" s="19" t="s">
        <v>386</v>
      </c>
      <c r="D224" s="21" t="s">
        <v>248</v>
      </c>
      <c r="E224" s="19" t="s">
        <v>40</v>
      </c>
      <c r="F224" s="18" t="s">
        <v>37</v>
      </c>
      <c r="G224" s="42" t="s">
        <v>496</v>
      </c>
      <c r="H224" s="18" t="s">
        <v>497</v>
      </c>
      <c r="I224" s="20" t="s">
        <v>658</v>
      </c>
    </row>
    <row r="225" spans="1:9" ht="15" customHeight="1" x14ac:dyDescent="0.35">
      <c r="A225" s="18">
        <v>221</v>
      </c>
      <c r="B225" s="19" t="s">
        <v>16</v>
      </c>
      <c r="C225" s="19" t="s">
        <v>388</v>
      </c>
      <c r="D225" s="21" t="s">
        <v>305</v>
      </c>
      <c r="E225" s="19" t="s">
        <v>36</v>
      </c>
      <c r="F225" s="18" t="s">
        <v>37</v>
      </c>
      <c r="G225" s="42" t="s">
        <v>496</v>
      </c>
      <c r="H225" s="18" t="s">
        <v>497</v>
      </c>
      <c r="I225" s="20" t="s">
        <v>658</v>
      </c>
    </row>
    <row r="226" spans="1:9" ht="15" customHeight="1" x14ac:dyDescent="0.35">
      <c r="A226" s="18">
        <v>222</v>
      </c>
      <c r="B226" s="19" t="s">
        <v>16</v>
      </c>
      <c r="C226" s="19" t="s">
        <v>388</v>
      </c>
      <c r="D226" s="21" t="s">
        <v>39</v>
      </c>
      <c r="E226" s="19" t="s">
        <v>40</v>
      </c>
      <c r="F226" s="18" t="s">
        <v>37</v>
      </c>
      <c r="G226" s="42" t="s">
        <v>496</v>
      </c>
      <c r="H226" s="18" t="s">
        <v>497</v>
      </c>
      <c r="I226" s="20" t="s">
        <v>658</v>
      </c>
    </row>
    <row r="227" spans="1:9" ht="15" customHeight="1" x14ac:dyDescent="0.35">
      <c r="A227" s="18">
        <v>223</v>
      </c>
      <c r="B227" s="19" t="s">
        <v>16</v>
      </c>
      <c r="C227" s="19" t="s">
        <v>388</v>
      </c>
      <c r="D227" s="21" t="s">
        <v>42</v>
      </c>
      <c r="E227" s="19" t="s">
        <v>43</v>
      </c>
      <c r="F227" s="18" t="s">
        <v>37</v>
      </c>
      <c r="G227" s="42" t="s">
        <v>496</v>
      </c>
      <c r="H227" s="18" t="s">
        <v>497</v>
      </c>
      <c r="I227" s="20" t="s">
        <v>658</v>
      </c>
    </row>
    <row r="228" spans="1:9" ht="15" customHeight="1" x14ac:dyDescent="0.35">
      <c r="A228" s="18">
        <v>224</v>
      </c>
      <c r="B228" s="19" t="s">
        <v>16</v>
      </c>
      <c r="C228" s="19" t="s">
        <v>388</v>
      </c>
      <c r="D228" s="21" t="s">
        <v>45</v>
      </c>
      <c r="E228" s="19" t="s">
        <v>309</v>
      </c>
      <c r="F228" s="18" t="s">
        <v>46</v>
      </c>
      <c r="G228" s="37" t="s">
        <v>503</v>
      </c>
      <c r="H228" s="18" t="s">
        <v>683</v>
      </c>
      <c r="I228" s="20" t="s">
        <v>684</v>
      </c>
    </row>
    <row r="229" spans="1:9" ht="15" customHeight="1" x14ac:dyDescent="0.35">
      <c r="A229" s="18">
        <v>225</v>
      </c>
      <c r="B229" s="19" t="s">
        <v>16</v>
      </c>
      <c r="C229" s="19" t="s">
        <v>388</v>
      </c>
      <c r="D229" s="21" t="s">
        <v>390</v>
      </c>
      <c r="E229" s="19" t="s">
        <v>56</v>
      </c>
      <c r="F229" s="18" t="s">
        <v>57</v>
      </c>
      <c r="G229" s="37" t="s">
        <v>503</v>
      </c>
      <c r="H229" s="18" t="s">
        <v>671</v>
      </c>
      <c r="I229" s="20" t="s">
        <v>716</v>
      </c>
    </row>
    <row r="230" spans="1:9" ht="15" customHeight="1" x14ac:dyDescent="0.35">
      <c r="A230" s="18">
        <v>226</v>
      </c>
      <c r="B230" s="19" t="s">
        <v>16</v>
      </c>
      <c r="C230" s="19" t="s">
        <v>388</v>
      </c>
      <c r="D230" s="21" t="s">
        <v>232</v>
      </c>
      <c r="E230" s="19" t="s">
        <v>36</v>
      </c>
      <c r="F230" s="18" t="s">
        <v>37</v>
      </c>
      <c r="G230" s="42" t="s">
        <v>496</v>
      </c>
      <c r="H230" s="18" t="s">
        <v>497</v>
      </c>
      <c r="I230" s="20" t="s">
        <v>658</v>
      </c>
    </row>
    <row r="231" spans="1:9" ht="15" customHeight="1" x14ac:dyDescent="0.35">
      <c r="A231" s="18">
        <v>227</v>
      </c>
      <c r="B231" s="19" t="s">
        <v>16</v>
      </c>
      <c r="C231" s="19" t="s">
        <v>388</v>
      </c>
      <c r="D231" s="21" t="s">
        <v>234</v>
      </c>
      <c r="E231" s="19" t="s">
        <v>40</v>
      </c>
      <c r="F231" s="18" t="s">
        <v>37</v>
      </c>
      <c r="G231" s="42" t="s">
        <v>496</v>
      </c>
      <c r="H231" s="18" t="s">
        <v>497</v>
      </c>
      <c r="I231" s="20" t="s">
        <v>658</v>
      </c>
    </row>
    <row r="232" spans="1:9" ht="15" customHeight="1" x14ac:dyDescent="0.35">
      <c r="A232" s="18">
        <v>228</v>
      </c>
      <c r="B232" s="19" t="s">
        <v>16</v>
      </c>
      <c r="C232" s="19" t="s">
        <v>388</v>
      </c>
      <c r="D232" s="21" t="s">
        <v>236</v>
      </c>
      <c r="E232" s="19" t="s">
        <v>40</v>
      </c>
      <c r="F232" s="18" t="s">
        <v>37</v>
      </c>
      <c r="G232" s="43" t="s">
        <v>670</v>
      </c>
      <c r="H232" s="18" t="s">
        <v>671</v>
      </c>
      <c r="I232" s="20"/>
    </row>
    <row r="233" spans="1:9" ht="15" customHeight="1" x14ac:dyDescent="0.35">
      <c r="A233" s="18">
        <v>229</v>
      </c>
      <c r="B233" s="19" t="s">
        <v>16</v>
      </c>
      <c r="C233" s="19" t="s">
        <v>388</v>
      </c>
      <c r="D233" s="21" t="s">
        <v>238</v>
      </c>
      <c r="E233" s="19" t="s">
        <v>40</v>
      </c>
      <c r="F233" s="18" t="s">
        <v>37</v>
      </c>
      <c r="G233" s="42" t="s">
        <v>496</v>
      </c>
      <c r="H233" s="18" t="s">
        <v>497</v>
      </c>
      <c r="I233" s="20" t="s">
        <v>658</v>
      </c>
    </row>
    <row r="234" spans="1:9" ht="15" customHeight="1" x14ac:dyDescent="0.35">
      <c r="A234" s="18">
        <v>230</v>
      </c>
      <c r="B234" s="19" t="s">
        <v>16</v>
      </c>
      <c r="C234" s="19" t="s">
        <v>388</v>
      </c>
      <c r="D234" s="21" t="s">
        <v>242</v>
      </c>
      <c r="E234" s="19" t="s">
        <v>36</v>
      </c>
      <c r="F234" s="18" t="s">
        <v>37</v>
      </c>
      <c r="G234" s="42" t="s">
        <v>496</v>
      </c>
      <c r="H234" s="18" t="s">
        <v>497</v>
      </c>
      <c r="I234" s="20" t="s">
        <v>658</v>
      </c>
    </row>
    <row r="235" spans="1:9" ht="15" customHeight="1" x14ac:dyDescent="0.35">
      <c r="A235" s="18">
        <v>231</v>
      </c>
      <c r="B235" s="19" t="s">
        <v>16</v>
      </c>
      <c r="C235" s="19" t="s">
        <v>388</v>
      </c>
      <c r="D235" s="21" t="s">
        <v>244</v>
      </c>
      <c r="E235" s="19" t="s">
        <v>40</v>
      </c>
      <c r="F235" s="18" t="s">
        <v>37</v>
      </c>
      <c r="G235" s="42" t="s">
        <v>496</v>
      </c>
      <c r="H235" s="18" t="s">
        <v>497</v>
      </c>
      <c r="I235" s="20" t="s">
        <v>658</v>
      </c>
    </row>
    <row r="236" spans="1:9" ht="15" customHeight="1" x14ac:dyDescent="0.35">
      <c r="A236" s="18">
        <v>232</v>
      </c>
      <c r="B236" s="19" t="s">
        <v>16</v>
      </c>
      <c r="C236" s="19" t="s">
        <v>388</v>
      </c>
      <c r="D236" s="21" t="s">
        <v>246</v>
      </c>
      <c r="E236" s="19" t="s">
        <v>40</v>
      </c>
      <c r="F236" s="18" t="s">
        <v>37</v>
      </c>
      <c r="G236" s="37" t="s">
        <v>503</v>
      </c>
      <c r="H236" s="18" t="s">
        <v>671</v>
      </c>
      <c r="I236" s="20"/>
    </row>
    <row r="237" spans="1:9" ht="15" customHeight="1" x14ac:dyDescent="0.35">
      <c r="A237" s="18">
        <v>233</v>
      </c>
      <c r="B237" s="19" t="s">
        <v>16</v>
      </c>
      <c r="C237" s="19" t="s">
        <v>388</v>
      </c>
      <c r="D237" s="21" t="s">
        <v>248</v>
      </c>
      <c r="E237" s="19" t="s">
        <v>40</v>
      </c>
      <c r="F237" s="18" t="s">
        <v>37</v>
      </c>
      <c r="G237" s="42" t="s">
        <v>496</v>
      </c>
      <c r="H237" s="18" t="s">
        <v>497</v>
      </c>
      <c r="I237" s="20" t="s">
        <v>658</v>
      </c>
    </row>
    <row r="238" spans="1:9" ht="15" customHeight="1" x14ac:dyDescent="0.35">
      <c r="A238" s="18">
        <v>234</v>
      </c>
      <c r="B238" s="19" t="s">
        <v>16</v>
      </c>
      <c r="C238" s="19" t="s">
        <v>388</v>
      </c>
      <c r="D238" s="21" t="s">
        <v>324</v>
      </c>
      <c r="E238" s="19" t="s">
        <v>394</v>
      </c>
      <c r="F238" s="18" t="s">
        <v>50</v>
      </c>
      <c r="G238" s="37" t="s">
        <v>503</v>
      </c>
      <c r="H238" s="18" t="s">
        <v>671</v>
      </c>
      <c r="I238" s="20" t="s">
        <v>717</v>
      </c>
    </row>
    <row r="239" spans="1:9" ht="15" customHeight="1" x14ac:dyDescent="0.35">
      <c r="A239" s="18">
        <v>235</v>
      </c>
      <c r="B239" s="19" t="s">
        <v>16</v>
      </c>
      <c r="C239" s="19" t="s">
        <v>388</v>
      </c>
      <c r="D239" s="21" t="s">
        <v>396</v>
      </c>
      <c r="E239" s="19" t="s">
        <v>397</v>
      </c>
      <c r="F239" s="18" t="s">
        <v>57</v>
      </c>
      <c r="G239" s="43" t="s">
        <v>670</v>
      </c>
      <c r="H239" s="18" t="s">
        <v>671</v>
      </c>
      <c r="I239" s="20" t="s">
        <v>718</v>
      </c>
    </row>
    <row r="240" spans="1:9" ht="15" customHeight="1" x14ac:dyDescent="0.35">
      <c r="A240" s="18">
        <v>236</v>
      </c>
      <c r="B240" s="19" t="s">
        <v>16</v>
      </c>
      <c r="C240" s="19" t="s">
        <v>388</v>
      </c>
      <c r="D240" s="21" t="s">
        <v>71</v>
      </c>
      <c r="E240" s="19" t="s">
        <v>36</v>
      </c>
      <c r="F240" s="18" t="s">
        <v>37</v>
      </c>
      <c r="G240" s="42" t="s">
        <v>496</v>
      </c>
      <c r="H240" s="18" t="s">
        <v>497</v>
      </c>
      <c r="I240" s="20" t="s">
        <v>658</v>
      </c>
    </row>
    <row r="241" spans="1:9" ht="15" customHeight="1" x14ac:dyDescent="0.35">
      <c r="A241" s="18">
        <v>237</v>
      </c>
      <c r="B241" s="19" t="s">
        <v>16</v>
      </c>
      <c r="C241" s="19" t="s">
        <v>388</v>
      </c>
      <c r="D241" s="21" t="s">
        <v>73</v>
      </c>
      <c r="E241" s="19" t="s">
        <v>40</v>
      </c>
      <c r="F241" s="18" t="s">
        <v>37</v>
      </c>
      <c r="G241" s="42" t="s">
        <v>496</v>
      </c>
      <c r="H241" s="18" t="s">
        <v>497</v>
      </c>
      <c r="I241" s="20" t="s">
        <v>658</v>
      </c>
    </row>
    <row r="242" spans="1:9" ht="15" customHeight="1" x14ac:dyDescent="0.35">
      <c r="A242" s="18">
        <v>238</v>
      </c>
      <c r="B242" s="19" t="s">
        <v>16</v>
      </c>
      <c r="C242" s="19" t="s">
        <v>388</v>
      </c>
      <c r="D242" s="21" t="s">
        <v>75</v>
      </c>
      <c r="E242" s="19" t="s">
        <v>40</v>
      </c>
      <c r="F242" s="18" t="s">
        <v>37</v>
      </c>
      <c r="G242" s="37" t="s">
        <v>503</v>
      </c>
      <c r="H242" s="18" t="s">
        <v>719</v>
      </c>
      <c r="I242" s="20"/>
    </row>
    <row r="243" spans="1:9" ht="15" customHeight="1" x14ac:dyDescent="0.35">
      <c r="A243" s="18">
        <v>239</v>
      </c>
      <c r="B243" s="19" t="s">
        <v>16</v>
      </c>
      <c r="C243" s="19" t="s">
        <v>388</v>
      </c>
      <c r="D243" s="21" t="s">
        <v>77</v>
      </c>
      <c r="E243" s="19" t="s">
        <v>40</v>
      </c>
      <c r="F243" s="18" t="s">
        <v>37</v>
      </c>
      <c r="G243" s="42" t="s">
        <v>496</v>
      </c>
      <c r="H243" s="18" t="s">
        <v>497</v>
      </c>
      <c r="I243" s="20" t="s">
        <v>658</v>
      </c>
    </row>
    <row r="244" spans="1:9" ht="15" customHeight="1" x14ac:dyDescent="0.35">
      <c r="A244" s="18">
        <v>240</v>
      </c>
      <c r="B244" s="19" t="s">
        <v>16</v>
      </c>
      <c r="C244" s="19" t="s">
        <v>388</v>
      </c>
      <c r="D244" s="21" t="s">
        <v>400</v>
      </c>
      <c r="E244" s="19" t="s">
        <v>36</v>
      </c>
      <c r="F244" s="18" t="s">
        <v>37</v>
      </c>
      <c r="G244" s="42" t="s">
        <v>496</v>
      </c>
      <c r="H244" s="18" t="s">
        <v>497</v>
      </c>
      <c r="I244" s="20" t="s">
        <v>658</v>
      </c>
    </row>
    <row r="245" spans="1:9" ht="15" customHeight="1" x14ac:dyDescent="0.35">
      <c r="A245" s="18">
        <v>241</v>
      </c>
      <c r="B245" s="19" t="s">
        <v>16</v>
      </c>
      <c r="C245" s="19" t="s">
        <v>388</v>
      </c>
      <c r="D245" s="21" t="s">
        <v>402</v>
      </c>
      <c r="E245" s="19" t="s">
        <v>40</v>
      </c>
      <c r="F245" s="18" t="s">
        <v>37</v>
      </c>
      <c r="G245" s="42" t="s">
        <v>496</v>
      </c>
      <c r="H245" s="18" t="s">
        <v>497</v>
      </c>
      <c r="I245" s="20" t="s">
        <v>658</v>
      </c>
    </row>
    <row r="246" spans="1:9" ht="15" customHeight="1" x14ac:dyDescent="0.35">
      <c r="A246" s="18">
        <v>242</v>
      </c>
      <c r="B246" s="19" t="s">
        <v>16</v>
      </c>
      <c r="C246" s="19" t="s">
        <v>388</v>
      </c>
      <c r="D246" s="21" t="s">
        <v>404</v>
      </c>
      <c r="E246" s="19" t="s">
        <v>40</v>
      </c>
      <c r="F246" s="18" t="s">
        <v>37</v>
      </c>
      <c r="G246" s="36" t="s">
        <v>593</v>
      </c>
      <c r="H246" s="18" t="s">
        <v>661</v>
      </c>
      <c r="I246" s="20" t="s">
        <v>720</v>
      </c>
    </row>
    <row r="247" spans="1:9" ht="15" customHeight="1" x14ac:dyDescent="0.35">
      <c r="A247" s="18">
        <v>243</v>
      </c>
      <c r="B247" s="19" t="s">
        <v>16</v>
      </c>
      <c r="C247" s="19" t="s">
        <v>388</v>
      </c>
      <c r="D247" s="21" t="s">
        <v>406</v>
      </c>
      <c r="E247" s="19" t="s">
        <v>40</v>
      </c>
      <c r="F247" s="18" t="s">
        <v>37</v>
      </c>
      <c r="G247" s="42" t="s">
        <v>496</v>
      </c>
      <c r="H247" s="18" t="s">
        <v>497</v>
      </c>
      <c r="I247" s="20" t="s">
        <v>658</v>
      </c>
    </row>
    <row r="248" spans="1:9" ht="15" customHeight="1" x14ac:dyDescent="0.35">
      <c r="A248" s="18">
        <v>244</v>
      </c>
      <c r="B248" s="19" t="s">
        <v>16</v>
      </c>
      <c r="C248" s="19" t="s">
        <v>388</v>
      </c>
      <c r="D248" s="21" t="s">
        <v>408</v>
      </c>
      <c r="E248" s="19" t="s">
        <v>409</v>
      </c>
      <c r="F248" s="18" t="s">
        <v>57</v>
      </c>
      <c r="G248" s="36" t="s">
        <v>593</v>
      </c>
      <c r="H248" s="18" t="s">
        <v>661</v>
      </c>
      <c r="I248" s="20" t="s">
        <v>721</v>
      </c>
    </row>
    <row r="249" spans="1:9" ht="15" customHeight="1" x14ac:dyDescent="0.35">
      <c r="A249" s="18">
        <v>245</v>
      </c>
      <c r="B249" s="19" t="s">
        <v>16</v>
      </c>
      <c r="C249" s="19" t="s">
        <v>388</v>
      </c>
      <c r="D249" s="21" t="s">
        <v>270</v>
      </c>
      <c r="E249" s="19" t="s">
        <v>271</v>
      </c>
      <c r="F249" s="18" t="s">
        <v>50</v>
      </c>
      <c r="G249" s="37" t="s">
        <v>503</v>
      </c>
      <c r="H249" s="18" t="s">
        <v>671</v>
      </c>
      <c r="I249" s="20"/>
    </row>
    <row r="250" spans="1:9" ht="15" customHeight="1" x14ac:dyDescent="0.35">
      <c r="A250" s="18">
        <v>246</v>
      </c>
      <c r="B250" s="19" t="s">
        <v>16</v>
      </c>
      <c r="C250" s="19" t="s">
        <v>388</v>
      </c>
      <c r="D250" s="21" t="s">
        <v>412</v>
      </c>
      <c r="E250" s="19" t="s">
        <v>384</v>
      </c>
      <c r="F250" s="18" t="s">
        <v>50</v>
      </c>
      <c r="G250" s="36" t="s">
        <v>593</v>
      </c>
      <c r="H250" s="18" t="s">
        <v>714</v>
      </c>
      <c r="I250" s="20" t="s">
        <v>715</v>
      </c>
    </row>
    <row r="251" spans="1:9" ht="15" customHeight="1" x14ac:dyDescent="0.35">
      <c r="A251" s="18">
        <v>247</v>
      </c>
      <c r="B251" s="19" t="s">
        <v>16</v>
      </c>
      <c r="C251" s="19" t="s">
        <v>388</v>
      </c>
      <c r="D251" s="21" t="s">
        <v>414</v>
      </c>
      <c r="E251" s="19" t="s">
        <v>415</v>
      </c>
      <c r="F251" s="18" t="s">
        <v>50</v>
      </c>
      <c r="G251" s="36" t="s">
        <v>593</v>
      </c>
      <c r="H251" s="18" t="s">
        <v>714</v>
      </c>
      <c r="I251" s="20" t="s">
        <v>722</v>
      </c>
    </row>
    <row r="252" spans="1:9" ht="15" customHeight="1" x14ac:dyDescent="0.35">
      <c r="A252" s="18">
        <v>248</v>
      </c>
      <c r="B252" s="19" t="s">
        <v>16</v>
      </c>
      <c r="C252" s="19" t="s">
        <v>417</v>
      </c>
      <c r="D252" s="21" t="s">
        <v>305</v>
      </c>
      <c r="E252" s="19" t="s">
        <v>36</v>
      </c>
      <c r="F252" s="18" t="s">
        <v>37</v>
      </c>
      <c r="G252" s="42" t="s">
        <v>496</v>
      </c>
      <c r="H252" s="18" t="s">
        <v>497</v>
      </c>
      <c r="I252" s="20" t="s">
        <v>658</v>
      </c>
    </row>
    <row r="253" spans="1:9" ht="15" customHeight="1" x14ac:dyDescent="0.35">
      <c r="A253" s="18">
        <v>249</v>
      </c>
      <c r="B253" s="19" t="s">
        <v>16</v>
      </c>
      <c r="C253" s="19" t="s">
        <v>417</v>
      </c>
      <c r="D253" s="21" t="s">
        <v>39</v>
      </c>
      <c r="E253" s="19" t="s">
        <v>40</v>
      </c>
      <c r="F253" s="18" t="s">
        <v>37</v>
      </c>
      <c r="G253" s="42" t="s">
        <v>496</v>
      </c>
      <c r="H253" s="18" t="s">
        <v>497</v>
      </c>
      <c r="I253" s="20" t="s">
        <v>658</v>
      </c>
    </row>
    <row r="254" spans="1:9" ht="15" customHeight="1" x14ac:dyDescent="0.35">
      <c r="A254" s="18">
        <v>250</v>
      </c>
      <c r="B254" s="19" t="s">
        <v>16</v>
      </c>
      <c r="C254" s="19" t="s">
        <v>417</v>
      </c>
      <c r="D254" s="21" t="s">
        <v>42</v>
      </c>
      <c r="E254" s="19" t="s">
        <v>43</v>
      </c>
      <c r="F254" s="18" t="s">
        <v>37</v>
      </c>
      <c r="G254" s="42" t="s">
        <v>496</v>
      </c>
      <c r="H254" s="18" t="s">
        <v>497</v>
      </c>
      <c r="I254" s="20" t="s">
        <v>658</v>
      </c>
    </row>
    <row r="255" spans="1:9" ht="15" customHeight="1" x14ac:dyDescent="0.35">
      <c r="A255" s="18">
        <v>251</v>
      </c>
      <c r="B255" s="19" t="s">
        <v>16</v>
      </c>
      <c r="C255" s="19" t="s">
        <v>417</v>
      </c>
      <c r="D255" s="21" t="s">
        <v>45</v>
      </c>
      <c r="E255" s="19" t="s">
        <v>309</v>
      </c>
      <c r="F255" s="18" t="s">
        <v>46</v>
      </c>
      <c r="G255" s="37" t="s">
        <v>503</v>
      </c>
      <c r="H255" s="18" t="s">
        <v>497</v>
      </c>
      <c r="I255" s="20" t="s">
        <v>723</v>
      </c>
    </row>
    <row r="256" spans="1:9" ht="15" customHeight="1" x14ac:dyDescent="0.35">
      <c r="A256" s="18">
        <v>252</v>
      </c>
      <c r="B256" s="19" t="s">
        <v>16</v>
      </c>
      <c r="C256" s="19" t="s">
        <v>417</v>
      </c>
      <c r="D256" s="21" t="s">
        <v>45</v>
      </c>
      <c r="E256" s="19" t="s">
        <v>271</v>
      </c>
      <c r="F256" s="18" t="s">
        <v>57</v>
      </c>
      <c r="G256" s="37" t="s">
        <v>503</v>
      </c>
      <c r="H256" s="18" t="s">
        <v>497</v>
      </c>
      <c r="I256" s="20" t="s">
        <v>723</v>
      </c>
    </row>
    <row r="257" spans="1:9" ht="15" customHeight="1" x14ac:dyDescent="0.35">
      <c r="A257" s="18">
        <v>253</v>
      </c>
      <c r="B257" s="19" t="s">
        <v>16</v>
      </c>
      <c r="C257" s="19" t="s">
        <v>417</v>
      </c>
      <c r="D257" s="21" t="s">
        <v>419</v>
      </c>
      <c r="E257" s="19" t="s">
        <v>271</v>
      </c>
      <c r="F257" s="18" t="s">
        <v>57</v>
      </c>
      <c r="G257" s="37" t="s">
        <v>503</v>
      </c>
      <c r="H257" s="18" t="s">
        <v>497</v>
      </c>
      <c r="I257" s="20" t="s">
        <v>724</v>
      </c>
    </row>
    <row r="258" spans="1:9" ht="15" customHeight="1" x14ac:dyDescent="0.35">
      <c r="A258" s="18">
        <v>254</v>
      </c>
      <c r="B258" s="19" t="s">
        <v>16</v>
      </c>
      <c r="C258" s="19" t="s">
        <v>417</v>
      </c>
      <c r="D258" s="21" t="s">
        <v>421</v>
      </c>
      <c r="E258" s="19" t="s">
        <v>422</v>
      </c>
      <c r="F258" s="18" t="s">
        <v>50</v>
      </c>
      <c r="G258" s="42" t="s">
        <v>496</v>
      </c>
      <c r="H258" s="18" t="s">
        <v>497</v>
      </c>
      <c r="I258" s="20" t="s">
        <v>688</v>
      </c>
    </row>
    <row r="259" spans="1:9" ht="15" customHeight="1" x14ac:dyDescent="0.35">
      <c r="A259" s="18">
        <v>255</v>
      </c>
      <c r="B259" s="19" t="s">
        <v>16</v>
      </c>
      <c r="C259" s="19" t="s">
        <v>417</v>
      </c>
      <c r="D259" s="21" t="s">
        <v>424</v>
      </c>
      <c r="E259" s="19" t="s">
        <v>422</v>
      </c>
      <c r="F259" s="18" t="s">
        <v>50</v>
      </c>
      <c r="G259" s="42" t="s">
        <v>496</v>
      </c>
      <c r="H259" s="18" t="s">
        <v>497</v>
      </c>
      <c r="I259" s="20" t="s">
        <v>688</v>
      </c>
    </row>
    <row r="260" spans="1:9" ht="15" customHeight="1" x14ac:dyDescent="0.35">
      <c r="A260" s="18">
        <v>256</v>
      </c>
      <c r="B260" s="19" t="s">
        <v>17</v>
      </c>
      <c r="C260" s="19" t="s">
        <v>428</v>
      </c>
      <c r="D260" s="21" t="s">
        <v>429</v>
      </c>
      <c r="E260" s="19" t="s">
        <v>36</v>
      </c>
      <c r="F260" s="18" t="s">
        <v>37</v>
      </c>
      <c r="G260" s="42" t="s">
        <v>496</v>
      </c>
      <c r="H260" s="18" t="s">
        <v>497</v>
      </c>
      <c r="I260" s="20" t="s">
        <v>658</v>
      </c>
    </row>
    <row r="261" spans="1:9" ht="15" customHeight="1" x14ac:dyDescent="0.35">
      <c r="A261" s="18">
        <v>257</v>
      </c>
      <c r="B261" s="19" t="s">
        <v>17</v>
      </c>
      <c r="C261" s="19" t="s">
        <v>428</v>
      </c>
      <c r="D261" s="21" t="s">
        <v>39</v>
      </c>
      <c r="E261" s="19" t="s">
        <v>40</v>
      </c>
      <c r="F261" s="18" t="s">
        <v>37</v>
      </c>
      <c r="G261" s="42" t="s">
        <v>496</v>
      </c>
      <c r="H261" s="18" t="s">
        <v>497</v>
      </c>
      <c r="I261" s="20" t="s">
        <v>658</v>
      </c>
    </row>
    <row r="262" spans="1:9" ht="23.25" customHeight="1" x14ac:dyDescent="0.35">
      <c r="A262" s="18">
        <v>258</v>
      </c>
      <c r="B262" s="19" t="s">
        <v>17</v>
      </c>
      <c r="C262" s="19" t="s">
        <v>428</v>
      </c>
      <c r="D262" s="21" t="s">
        <v>432</v>
      </c>
      <c r="E262" s="19" t="s">
        <v>40</v>
      </c>
      <c r="F262" s="18" t="s">
        <v>37</v>
      </c>
      <c r="G262" s="42" t="s">
        <v>496</v>
      </c>
      <c r="H262" s="18" t="s">
        <v>497</v>
      </c>
      <c r="I262" s="20" t="s">
        <v>725</v>
      </c>
    </row>
    <row r="263" spans="1:9" ht="15" customHeight="1" x14ac:dyDescent="0.35">
      <c r="A263" s="18">
        <v>259</v>
      </c>
      <c r="B263" s="19" t="s">
        <v>17</v>
      </c>
      <c r="C263" s="19" t="s">
        <v>428</v>
      </c>
      <c r="D263" s="21" t="s">
        <v>434</v>
      </c>
      <c r="E263" s="19" t="s">
        <v>40</v>
      </c>
      <c r="F263" s="18" t="s">
        <v>37</v>
      </c>
      <c r="G263" s="42" t="s">
        <v>496</v>
      </c>
      <c r="H263" s="18" t="s">
        <v>497</v>
      </c>
      <c r="I263" s="20" t="s">
        <v>688</v>
      </c>
    </row>
    <row r="264" spans="1:9" ht="15" customHeight="1" x14ac:dyDescent="0.35">
      <c r="A264" s="18">
        <v>260</v>
      </c>
      <c r="B264" s="19" t="s">
        <v>17</v>
      </c>
      <c r="C264" s="19" t="s">
        <v>428</v>
      </c>
      <c r="D264" s="21" t="s">
        <v>436</v>
      </c>
      <c r="E264" s="19" t="s">
        <v>309</v>
      </c>
      <c r="F264" s="18" t="s">
        <v>57</v>
      </c>
      <c r="G264" s="37" t="s">
        <v>503</v>
      </c>
      <c r="H264" s="18" t="s">
        <v>698</v>
      </c>
      <c r="I264" s="20" t="s">
        <v>726</v>
      </c>
    </row>
    <row r="265" spans="1:9" ht="15" customHeight="1" x14ac:dyDescent="0.35">
      <c r="A265" s="18">
        <v>261</v>
      </c>
      <c r="B265" s="19" t="s">
        <v>17</v>
      </c>
      <c r="C265" s="19" t="s">
        <v>428</v>
      </c>
      <c r="D265" s="21" t="s">
        <v>438</v>
      </c>
      <c r="E265" s="19" t="s">
        <v>40</v>
      </c>
      <c r="F265" s="18" t="s">
        <v>50</v>
      </c>
      <c r="G265" s="42" t="s">
        <v>496</v>
      </c>
      <c r="H265" s="18" t="s">
        <v>497</v>
      </c>
      <c r="I265" s="20" t="s">
        <v>688</v>
      </c>
    </row>
    <row r="266" spans="1:9" ht="15" customHeight="1" x14ac:dyDescent="0.35">
      <c r="A266" s="18">
        <v>262</v>
      </c>
      <c r="B266" s="19" t="s">
        <v>17</v>
      </c>
      <c r="C266" s="19" t="s">
        <v>428</v>
      </c>
      <c r="D266" s="21" t="s">
        <v>441</v>
      </c>
      <c r="E266" s="19" t="s">
        <v>36</v>
      </c>
      <c r="F266" s="18" t="s">
        <v>37</v>
      </c>
      <c r="G266" s="42" t="s">
        <v>496</v>
      </c>
      <c r="H266" s="18" t="s">
        <v>497</v>
      </c>
      <c r="I266" s="20" t="s">
        <v>658</v>
      </c>
    </row>
    <row r="267" spans="1:9" ht="15" customHeight="1" x14ac:dyDescent="0.35">
      <c r="A267" s="18">
        <v>263</v>
      </c>
      <c r="B267" s="19" t="s">
        <v>17</v>
      </c>
      <c r="C267" s="19" t="s">
        <v>428</v>
      </c>
      <c r="D267" s="21" t="s">
        <v>443</v>
      </c>
      <c r="E267" s="19" t="s">
        <v>40</v>
      </c>
      <c r="F267" s="18" t="s">
        <v>37</v>
      </c>
      <c r="G267" s="42" t="s">
        <v>496</v>
      </c>
      <c r="H267" s="18" t="s">
        <v>497</v>
      </c>
      <c r="I267" s="20" t="s">
        <v>658</v>
      </c>
    </row>
    <row r="268" spans="1:9" ht="15" customHeight="1" x14ac:dyDescent="0.35">
      <c r="A268" s="18">
        <v>264</v>
      </c>
      <c r="B268" s="19" t="s">
        <v>17</v>
      </c>
      <c r="C268" s="19" t="s">
        <v>428</v>
      </c>
      <c r="D268" s="21" t="s">
        <v>444</v>
      </c>
      <c r="E268" s="19" t="s">
        <v>40</v>
      </c>
      <c r="F268" s="18" t="s">
        <v>37</v>
      </c>
      <c r="G268" s="42" t="s">
        <v>496</v>
      </c>
      <c r="H268" s="18" t="s">
        <v>497</v>
      </c>
      <c r="I268" s="20" t="s">
        <v>688</v>
      </c>
    </row>
    <row r="269" spans="1:9" ht="15" customHeight="1" x14ac:dyDescent="0.35">
      <c r="A269" s="18">
        <v>265</v>
      </c>
      <c r="B269" s="19" t="s">
        <v>17</v>
      </c>
      <c r="C269" s="19" t="s">
        <v>428</v>
      </c>
      <c r="D269" s="21" t="s">
        <v>446</v>
      </c>
      <c r="E269" s="19" t="s">
        <v>40</v>
      </c>
      <c r="F269" s="18" t="s">
        <v>37</v>
      </c>
      <c r="G269" s="42" t="s">
        <v>496</v>
      </c>
      <c r="H269" s="18" t="s">
        <v>497</v>
      </c>
      <c r="I269" s="20" t="s">
        <v>658</v>
      </c>
    </row>
    <row r="270" spans="1:9" ht="15" customHeight="1" x14ac:dyDescent="0.35">
      <c r="A270" s="18">
        <v>266</v>
      </c>
      <c r="B270" s="19" t="s">
        <v>17</v>
      </c>
      <c r="C270" s="19" t="s">
        <v>428</v>
      </c>
      <c r="D270" s="21" t="s">
        <v>449</v>
      </c>
      <c r="E270" s="19" t="s">
        <v>36</v>
      </c>
      <c r="F270" s="18" t="s">
        <v>37</v>
      </c>
      <c r="G270" s="42" t="s">
        <v>496</v>
      </c>
      <c r="H270" s="18" t="s">
        <v>497</v>
      </c>
      <c r="I270" s="20" t="s">
        <v>658</v>
      </c>
    </row>
    <row r="271" spans="1:9" ht="15" customHeight="1" x14ac:dyDescent="0.35">
      <c r="A271" s="18">
        <v>267</v>
      </c>
      <c r="B271" s="19" t="s">
        <v>17</v>
      </c>
      <c r="C271" s="19" t="s">
        <v>428</v>
      </c>
      <c r="D271" s="21" t="s">
        <v>452</v>
      </c>
      <c r="E271" s="19" t="s">
        <v>40</v>
      </c>
      <c r="F271" s="18" t="s">
        <v>37</v>
      </c>
      <c r="G271" s="42" t="s">
        <v>496</v>
      </c>
      <c r="H271" s="18" t="s">
        <v>497</v>
      </c>
      <c r="I271" s="20" t="s">
        <v>658</v>
      </c>
    </row>
    <row r="272" spans="1:9" ht="15" customHeight="1" x14ac:dyDescent="0.35">
      <c r="A272" s="18">
        <v>268</v>
      </c>
      <c r="B272" s="19" t="s">
        <v>17</v>
      </c>
      <c r="C272" s="19" t="s">
        <v>428</v>
      </c>
      <c r="D272" s="21" t="s">
        <v>454</v>
      </c>
      <c r="E272" s="19" t="s">
        <v>40</v>
      </c>
      <c r="F272" s="18" t="s">
        <v>37</v>
      </c>
      <c r="G272" s="36" t="s">
        <v>593</v>
      </c>
      <c r="H272" s="18" t="s">
        <v>497</v>
      </c>
      <c r="I272" s="20" t="s">
        <v>727</v>
      </c>
    </row>
    <row r="273" spans="1:9" ht="15" customHeight="1" x14ac:dyDescent="0.35">
      <c r="A273" s="18">
        <v>269</v>
      </c>
      <c r="B273" s="19" t="s">
        <v>17</v>
      </c>
      <c r="C273" s="19" t="s">
        <v>428</v>
      </c>
      <c r="D273" s="21" t="s">
        <v>456</v>
      </c>
      <c r="E273" s="19" t="s">
        <v>40</v>
      </c>
      <c r="F273" s="18" t="s">
        <v>37</v>
      </c>
      <c r="G273" s="42" t="s">
        <v>496</v>
      </c>
      <c r="H273" s="18" t="s">
        <v>497</v>
      </c>
      <c r="I273" s="20" t="s">
        <v>658</v>
      </c>
    </row>
    <row r="274" spans="1:9" ht="15" customHeight="1" x14ac:dyDescent="0.35">
      <c r="A274" s="18">
        <v>270</v>
      </c>
      <c r="B274" s="19" t="s">
        <v>17</v>
      </c>
      <c r="C274" s="19" t="s">
        <v>428</v>
      </c>
      <c r="D274" s="21" t="s">
        <v>458</v>
      </c>
      <c r="E274" s="19" t="s">
        <v>56</v>
      </c>
      <c r="F274" s="18" t="s">
        <v>57</v>
      </c>
      <c r="G274" s="42" t="s">
        <v>496</v>
      </c>
      <c r="H274" s="18" t="s">
        <v>497</v>
      </c>
      <c r="I274" s="20" t="s">
        <v>728</v>
      </c>
    </row>
    <row r="275" spans="1:9" ht="15" customHeight="1" x14ac:dyDescent="0.35">
      <c r="A275" s="18">
        <v>271</v>
      </c>
      <c r="B275" s="19" t="s">
        <v>17</v>
      </c>
      <c r="C275" s="19" t="s">
        <v>428</v>
      </c>
      <c r="D275" s="21" t="s">
        <v>461</v>
      </c>
      <c r="E275" s="19" t="s">
        <v>56</v>
      </c>
      <c r="F275" s="18" t="s">
        <v>57</v>
      </c>
      <c r="G275" s="42" t="s">
        <v>496</v>
      </c>
      <c r="H275" s="18" t="s">
        <v>497</v>
      </c>
      <c r="I275" s="20" t="s">
        <v>729</v>
      </c>
    </row>
    <row r="276" spans="1:9" ht="15" customHeight="1" x14ac:dyDescent="0.35">
      <c r="A276" s="18">
        <v>272</v>
      </c>
      <c r="B276" s="19" t="s">
        <v>17</v>
      </c>
      <c r="C276" s="19" t="s">
        <v>428</v>
      </c>
      <c r="D276" s="21" t="s">
        <v>464</v>
      </c>
      <c r="E276" s="19" t="s">
        <v>56</v>
      </c>
      <c r="F276" s="18" t="s">
        <v>57</v>
      </c>
      <c r="G276" s="36" t="s">
        <v>593</v>
      </c>
      <c r="H276" s="18" t="s">
        <v>730</v>
      </c>
      <c r="I276" s="20" t="s">
        <v>731</v>
      </c>
    </row>
    <row r="277" spans="1:9" ht="23.25" customHeight="1" x14ac:dyDescent="0.35">
      <c r="A277" s="18">
        <v>273</v>
      </c>
      <c r="B277" s="19" t="s">
        <v>17</v>
      </c>
      <c r="C277" s="19" t="s">
        <v>428</v>
      </c>
      <c r="D277" s="21" t="s">
        <v>467</v>
      </c>
      <c r="E277" s="19" t="s">
        <v>422</v>
      </c>
      <c r="F277" s="18" t="s">
        <v>50</v>
      </c>
      <c r="G277" s="36" t="s">
        <v>593</v>
      </c>
      <c r="H277" s="18" t="s">
        <v>732</v>
      </c>
      <c r="I277" s="20" t="s">
        <v>733</v>
      </c>
    </row>
    <row r="278" spans="1:9" ht="15" customHeight="1" x14ac:dyDescent="0.35">
      <c r="A278" s="18">
        <v>274</v>
      </c>
      <c r="B278" s="19" t="s">
        <v>17</v>
      </c>
      <c r="C278" s="19" t="s">
        <v>428</v>
      </c>
      <c r="D278" s="21" t="s">
        <v>470</v>
      </c>
      <c r="E278" s="19" t="s">
        <v>56</v>
      </c>
      <c r="F278" s="18" t="s">
        <v>50</v>
      </c>
      <c r="G278" s="36" t="s">
        <v>593</v>
      </c>
      <c r="H278" s="18" t="s">
        <v>732</v>
      </c>
      <c r="I278" s="20" t="s">
        <v>734</v>
      </c>
    </row>
    <row r="279" spans="1:9" ht="15" customHeight="1" x14ac:dyDescent="0.35">
      <c r="A279" s="18">
        <v>275</v>
      </c>
      <c r="B279" s="19" t="s">
        <v>17</v>
      </c>
      <c r="C279" s="19" t="s">
        <v>428</v>
      </c>
      <c r="D279" s="21" t="s">
        <v>59</v>
      </c>
      <c r="E279" s="19" t="s">
        <v>56</v>
      </c>
      <c r="F279" s="18" t="s">
        <v>57</v>
      </c>
      <c r="G279" s="42" t="s">
        <v>496</v>
      </c>
      <c r="H279" s="18" t="s">
        <v>497</v>
      </c>
      <c r="I279" s="20" t="s">
        <v>658</v>
      </c>
    </row>
    <row r="280" spans="1:9" ht="15" customHeight="1" x14ac:dyDescent="0.35">
      <c r="A280" s="18">
        <v>276</v>
      </c>
      <c r="B280" s="19" t="s">
        <v>17</v>
      </c>
      <c r="C280" s="19" t="s">
        <v>473</v>
      </c>
      <c r="D280" s="21" t="s">
        <v>429</v>
      </c>
      <c r="E280" s="19" t="s">
        <v>36</v>
      </c>
      <c r="F280" s="18" t="s">
        <v>37</v>
      </c>
      <c r="G280" s="42" t="s">
        <v>496</v>
      </c>
      <c r="H280" s="18" t="s">
        <v>497</v>
      </c>
      <c r="I280" s="20" t="s">
        <v>658</v>
      </c>
    </row>
    <row r="281" spans="1:9" ht="15" customHeight="1" x14ac:dyDescent="0.35">
      <c r="A281" s="18">
        <v>277</v>
      </c>
      <c r="B281" s="19" t="s">
        <v>17</v>
      </c>
      <c r="C281" s="19" t="s">
        <v>473</v>
      </c>
      <c r="D281" s="21" t="s">
        <v>39</v>
      </c>
      <c r="E281" s="19" t="s">
        <v>40</v>
      </c>
      <c r="F281" s="18" t="s">
        <v>37</v>
      </c>
      <c r="G281" s="42" t="s">
        <v>496</v>
      </c>
      <c r="H281" s="18" t="s">
        <v>497</v>
      </c>
      <c r="I281" s="20" t="s">
        <v>658</v>
      </c>
    </row>
    <row r="282" spans="1:9" ht="15" customHeight="1" x14ac:dyDescent="0.35">
      <c r="A282" s="18">
        <v>278</v>
      </c>
      <c r="B282" s="19" t="s">
        <v>17</v>
      </c>
      <c r="C282" s="19" t="s">
        <v>473</v>
      </c>
      <c r="D282" s="21" t="s">
        <v>432</v>
      </c>
      <c r="E282" s="19" t="s">
        <v>40</v>
      </c>
      <c r="F282" s="18" t="s">
        <v>37</v>
      </c>
      <c r="G282" s="42" t="s">
        <v>496</v>
      </c>
      <c r="H282" s="18" t="s">
        <v>497</v>
      </c>
      <c r="I282" s="20" t="s">
        <v>688</v>
      </c>
    </row>
    <row r="283" spans="1:9" ht="15" customHeight="1" x14ac:dyDescent="0.35">
      <c r="A283" s="18">
        <v>279</v>
      </c>
      <c r="B283" s="19" t="s">
        <v>17</v>
      </c>
      <c r="C283" s="19" t="s">
        <v>473</v>
      </c>
      <c r="D283" s="21" t="s">
        <v>434</v>
      </c>
      <c r="E283" s="19" t="s">
        <v>40</v>
      </c>
      <c r="F283" s="18" t="s">
        <v>37</v>
      </c>
      <c r="G283" s="42" t="s">
        <v>496</v>
      </c>
      <c r="H283" s="18" t="s">
        <v>497</v>
      </c>
      <c r="I283" s="20" t="s">
        <v>688</v>
      </c>
    </row>
    <row r="284" spans="1:9" ht="15" customHeight="1" x14ac:dyDescent="0.35">
      <c r="A284" s="18">
        <v>280</v>
      </c>
      <c r="B284" s="19" t="s">
        <v>17</v>
      </c>
      <c r="C284" s="19" t="s">
        <v>473</v>
      </c>
      <c r="D284" s="21" t="s">
        <v>476</v>
      </c>
      <c r="E284" s="19" t="s">
        <v>36</v>
      </c>
      <c r="F284" s="18" t="s">
        <v>37</v>
      </c>
      <c r="G284" s="42" t="s">
        <v>496</v>
      </c>
      <c r="H284" s="18" t="s">
        <v>497</v>
      </c>
      <c r="I284" s="20" t="s">
        <v>658</v>
      </c>
    </row>
    <row r="285" spans="1:9" ht="15" customHeight="1" x14ac:dyDescent="0.35">
      <c r="A285" s="18">
        <v>281</v>
      </c>
      <c r="B285" s="19" t="s">
        <v>17</v>
      </c>
      <c r="C285" s="19" t="s">
        <v>473</v>
      </c>
      <c r="D285" s="21" t="s">
        <v>479</v>
      </c>
      <c r="E285" s="19" t="s">
        <v>40</v>
      </c>
      <c r="F285" s="18" t="s">
        <v>37</v>
      </c>
      <c r="G285" s="42" t="s">
        <v>496</v>
      </c>
      <c r="H285" s="18" t="s">
        <v>497</v>
      </c>
      <c r="I285" s="20" t="s">
        <v>658</v>
      </c>
    </row>
    <row r="286" spans="1:9" ht="15" customHeight="1" x14ac:dyDescent="0.35">
      <c r="A286" s="18">
        <v>282</v>
      </c>
      <c r="B286" s="19" t="s">
        <v>17</v>
      </c>
      <c r="C286" s="19" t="s">
        <v>473</v>
      </c>
      <c r="D286" s="21" t="s">
        <v>481</v>
      </c>
      <c r="E286" s="19" t="s">
        <v>40</v>
      </c>
      <c r="F286" s="18" t="s">
        <v>37</v>
      </c>
      <c r="G286" s="42" t="s">
        <v>496</v>
      </c>
      <c r="H286" s="18" t="s">
        <v>497</v>
      </c>
      <c r="I286" s="20" t="s">
        <v>658</v>
      </c>
    </row>
    <row r="287" spans="1:9" ht="15" customHeight="1" x14ac:dyDescent="0.35">
      <c r="A287" s="18">
        <v>283</v>
      </c>
      <c r="B287" s="19" t="s">
        <v>17</v>
      </c>
      <c r="C287" s="19" t="s">
        <v>473</v>
      </c>
      <c r="D287" s="21" t="s">
        <v>483</v>
      </c>
      <c r="E287" s="19" t="s">
        <v>40</v>
      </c>
      <c r="F287" s="18" t="s">
        <v>37</v>
      </c>
      <c r="G287" s="37" t="s">
        <v>503</v>
      </c>
      <c r="H287" s="18" t="s">
        <v>735</v>
      </c>
      <c r="I287" s="20" t="s">
        <v>736</v>
      </c>
    </row>
    <row r="288" spans="1:9" ht="23.25" customHeight="1" x14ac:dyDescent="0.35">
      <c r="A288" s="18">
        <v>284</v>
      </c>
      <c r="B288" s="19" t="s">
        <v>17</v>
      </c>
      <c r="C288" s="19" t="s">
        <v>473</v>
      </c>
      <c r="D288" s="21" t="s">
        <v>369</v>
      </c>
      <c r="E288" s="19" t="s">
        <v>316</v>
      </c>
      <c r="F288" s="18" t="s">
        <v>57</v>
      </c>
      <c r="G288" s="36" t="s">
        <v>593</v>
      </c>
      <c r="H288" s="18" t="s">
        <v>661</v>
      </c>
      <c r="I288" s="20" t="s">
        <v>737</v>
      </c>
    </row>
    <row r="289" spans="1:9" ht="15" customHeight="1" x14ac:dyDescent="0.35">
      <c r="A289" s="18">
        <v>285</v>
      </c>
      <c r="B289" s="19" t="s">
        <v>17</v>
      </c>
      <c r="C289" s="19" t="s">
        <v>473</v>
      </c>
      <c r="D289" s="21" t="s">
        <v>71</v>
      </c>
      <c r="E289" s="19" t="s">
        <v>36</v>
      </c>
      <c r="F289" s="18" t="s">
        <v>37</v>
      </c>
      <c r="G289" s="42" t="s">
        <v>496</v>
      </c>
      <c r="H289" s="18" t="s">
        <v>497</v>
      </c>
      <c r="I289" s="20" t="s">
        <v>658</v>
      </c>
    </row>
    <row r="290" spans="1:9" ht="15" customHeight="1" x14ac:dyDescent="0.35">
      <c r="A290" s="18">
        <v>286</v>
      </c>
      <c r="B290" s="19" t="s">
        <v>17</v>
      </c>
      <c r="C290" s="19" t="s">
        <v>473</v>
      </c>
      <c r="D290" s="21" t="s">
        <v>73</v>
      </c>
      <c r="E290" s="19" t="s">
        <v>40</v>
      </c>
      <c r="F290" s="18" t="s">
        <v>37</v>
      </c>
      <c r="G290" s="42" t="s">
        <v>496</v>
      </c>
      <c r="H290" s="18" t="s">
        <v>497</v>
      </c>
      <c r="I290" s="20" t="s">
        <v>658</v>
      </c>
    </row>
    <row r="291" spans="1:9" ht="15" customHeight="1" x14ac:dyDescent="0.35">
      <c r="A291" s="18">
        <v>287</v>
      </c>
      <c r="B291" s="19" t="s">
        <v>17</v>
      </c>
      <c r="C291" s="19" t="s">
        <v>473</v>
      </c>
      <c r="D291" s="21" t="s">
        <v>75</v>
      </c>
      <c r="E291" s="19" t="s">
        <v>40</v>
      </c>
      <c r="F291" s="18" t="s">
        <v>37</v>
      </c>
      <c r="G291" s="36" t="s">
        <v>593</v>
      </c>
      <c r="H291" s="18" t="s">
        <v>661</v>
      </c>
      <c r="I291" s="20" t="s">
        <v>738</v>
      </c>
    </row>
    <row r="292" spans="1:9" ht="15" customHeight="1" x14ac:dyDescent="0.35">
      <c r="A292" s="18">
        <v>288</v>
      </c>
      <c r="B292" s="19" t="s">
        <v>17</v>
      </c>
      <c r="C292" s="19" t="s">
        <v>473</v>
      </c>
      <c r="D292" s="21" t="s">
        <v>77</v>
      </c>
      <c r="E292" s="19" t="s">
        <v>40</v>
      </c>
      <c r="F292" s="18" t="s">
        <v>37</v>
      </c>
      <c r="G292" s="42" t="s">
        <v>496</v>
      </c>
      <c r="H292" s="18" t="s">
        <v>497</v>
      </c>
      <c r="I292" s="20" t="s">
        <v>658</v>
      </c>
    </row>
    <row r="293" spans="1:9" ht="15" customHeight="1" x14ac:dyDescent="0.35">
      <c r="A293" s="18">
        <v>289</v>
      </c>
      <c r="B293" s="19" t="s">
        <v>18</v>
      </c>
      <c r="C293" s="19" t="s">
        <v>739</v>
      </c>
      <c r="D293" s="21" t="s">
        <v>740</v>
      </c>
      <c r="E293" s="19" t="s">
        <v>36</v>
      </c>
      <c r="F293" s="18" t="s">
        <v>37</v>
      </c>
      <c r="G293" s="42" t="s">
        <v>496</v>
      </c>
      <c r="H293" s="18" t="s">
        <v>497</v>
      </c>
      <c r="I293" s="20" t="s">
        <v>658</v>
      </c>
    </row>
    <row r="294" spans="1:9" ht="15" customHeight="1" x14ac:dyDescent="0.35">
      <c r="A294" s="18">
        <v>290</v>
      </c>
      <c r="B294" s="19" t="s">
        <v>18</v>
      </c>
      <c r="C294" s="19" t="s">
        <v>739</v>
      </c>
      <c r="D294" s="21" t="s">
        <v>39</v>
      </c>
      <c r="E294" s="19" t="s">
        <v>40</v>
      </c>
      <c r="F294" s="18" t="s">
        <v>37</v>
      </c>
      <c r="G294" s="42" t="s">
        <v>496</v>
      </c>
      <c r="H294" s="18" t="s">
        <v>497</v>
      </c>
      <c r="I294" s="20" t="s">
        <v>658</v>
      </c>
    </row>
    <row r="295" spans="1:9" ht="15" customHeight="1" x14ac:dyDescent="0.35">
      <c r="A295" s="18">
        <v>291</v>
      </c>
      <c r="B295" s="19" t="s">
        <v>18</v>
      </c>
      <c r="C295" s="19" t="s">
        <v>739</v>
      </c>
      <c r="D295" s="21" t="s">
        <v>741</v>
      </c>
      <c r="E295" s="19" t="s">
        <v>40</v>
      </c>
      <c r="F295" s="18" t="s">
        <v>57</v>
      </c>
      <c r="G295" s="37" t="s">
        <v>503</v>
      </c>
      <c r="H295" s="18" t="s">
        <v>659</v>
      </c>
      <c r="I295" s="20" t="s">
        <v>742</v>
      </c>
    </row>
    <row r="296" spans="1:9" ht="15" customHeight="1" x14ac:dyDescent="0.35">
      <c r="A296" s="18">
        <v>292</v>
      </c>
      <c r="B296" s="19" t="s">
        <v>18</v>
      </c>
      <c r="C296" s="19" t="s">
        <v>739</v>
      </c>
      <c r="D296" s="21" t="s">
        <v>42</v>
      </c>
      <c r="E296" s="19" t="s">
        <v>40</v>
      </c>
      <c r="F296" s="18" t="s">
        <v>37</v>
      </c>
      <c r="G296" s="42" t="s">
        <v>496</v>
      </c>
      <c r="H296" s="18" t="s">
        <v>497</v>
      </c>
      <c r="I296" s="20" t="s">
        <v>658</v>
      </c>
    </row>
    <row r="297" spans="1:9" ht="15" customHeight="1" x14ac:dyDescent="0.35">
      <c r="A297" s="18">
        <v>293</v>
      </c>
      <c r="B297" s="19" t="s">
        <v>18</v>
      </c>
      <c r="C297" s="19" t="s">
        <v>739</v>
      </c>
      <c r="D297" s="21" t="s">
        <v>45</v>
      </c>
      <c r="E297" s="19" t="s">
        <v>309</v>
      </c>
      <c r="F297" s="18" t="s">
        <v>57</v>
      </c>
      <c r="G297" s="37" t="s">
        <v>503</v>
      </c>
      <c r="H297" s="18" t="s">
        <v>659</v>
      </c>
      <c r="I297" s="20" t="s">
        <v>743</v>
      </c>
    </row>
    <row r="298" spans="1:9" ht="15" customHeight="1" x14ac:dyDescent="0.35">
      <c r="A298" s="18">
        <v>294</v>
      </c>
      <c r="B298" s="19" t="s">
        <v>18</v>
      </c>
      <c r="C298" s="19" t="s">
        <v>739</v>
      </c>
      <c r="D298" s="21" t="s">
        <v>59</v>
      </c>
      <c r="E298" s="19" t="s">
        <v>56</v>
      </c>
      <c r="F298" s="18" t="s">
        <v>57</v>
      </c>
      <c r="G298" s="42" t="s">
        <v>496</v>
      </c>
      <c r="H298" s="18" t="s">
        <v>497</v>
      </c>
      <c r="I298" s="20" t="s">
        <v>658</v>
      </c>
    </row>
    <row r="299" spans="1:9" ht="15" customHeight="1" x14ac:dyDescent="0.35">
      <c r="A299" s="18">
        <v>295</v>
      </c>
      <c r="B299" s="19" t="s">
        <v>18</v>
      </c>
      <c r="C299" s="19" t="s">
        <v>744</v>
      </c>
      <c r="D299" s="21" t="s">
        <v>745</v>
      </c>
      <c r="E299" s="19" t="s">
        <v>36</v>
      </c>
      <c r="F299" s="18" t="s">
        <v>37</v>
      </c>
      <c r="G299" s="42" t="s">
        <v>496</v>
      </c>
      <c r="H299" s="18" t="s">
        <v>497</v>
      </c>
      <c r="I299" s="20" t="s">
        <v>658</v>
      </c>
    </row>
    <row r="300" spans="1:9" ht="15" customHeight="1" x14ac:dyDescent="0.35">
      <c r="A300" s="18">
        <v>296</v>
      </c>
      <c r="B300" s="19" t="s">
        <v>18</v>
      </c>
      <c r="C300" s="19" t="s">
        <v>744</v>
      </c>
      <c r="D300" s="21" t="s">
        <v>39</v>
      </c>
      <c r="E300" s="19" t="s">
        <v>40</v>
      </c>
      <c r="F300" s="18" t="s">
        <v>37</v>
      </c>
      <c r="G300" s="42" t="s">
        <v>496</v>
      </c>
      <c r="H300" s="18" t="s">
        <v>497</v>
      </c>
      <c r="I300" s="20" t="s">
        <v>658</v>
      </c>
    </row>
    <row r="301" spans="1:9" ht="15" customHeight="1" x14ac:dyDescent="0.35">
      <c r="A301" s="18">
        <v>297</v>
      </c>
      <c r="B301" s="19" t="s">
        <v>18</v>
      </c>
      <c r="C301" s="19" t="s">
        <v>744</v>
      </c>
      <c r="D301" s="21" t="s">
        <v>746</v>
      </c>
      <c r="E301" s="19" t="s">
        <v>40</v>
      </c>
      <c r="F301" s="18" t="s">
        <v>57</v>
      </c>
      <c r="G301" s="42" t="s">
        <v>496</v>
      </c>
      <c r="H301" s="18" t="s">
        <v>497</v>
      </c>
      <c r="I301" s="20" t="s">
        <v>688</v>
      </c>
    </row>
    <row r="302" spans="1:9" ht="15" customHeight="1" x14ac:dyDescent="0.35">
      <c r="A302" s="18">
        <v>298</v>
      </c>
      <c r="B302" s="19" t="s">
        <v>18</v>
      </c>
      <c r="C302" s="19" t="s">
        <v>744</v>
      </c>
      <c r="D302" s="21" t="s">
        <v>42</v>
      </c>
      <c r="E302" s="19" t="s">
        <v>40</v>
      </c>
      <c r="F302" s="18" t="s">
        <v>37</v>
      </c>
      <c r="G302" s="42" t="s">
        <v>496</v>
      </c>
      <c r="H302" s="18" t="s">
        <v>497</v>
      </c>
      <c r="I302" s="20" t="s">
        <v>658</v>
      </c>
    </row>
    <row r="303" spans="1:9" ht="15" customHeight="1" x14ac:dyDescent="0.35">
      <c r="A303" s="18">
        <v>299</v>
      </c>
      <c r="B303" s="19" t="s">
        <v>18</v>
      </c>
      <c r="C303" s="19" t="s">
        <v>744</v>
      </c>
      <c r="D303" s="21" t="s">
        <v>45</v>
      </c>
      <c r="E303" s="19" t="s">
        <v>43</v>
      </c>
      <c r="F303" s="18" t="s">
        <v>57</v>
      </c>
      <c r="G303" s="36" t="s">
        <v>593</v>
      </c>
      <c r="H303" s="18" t="s">
        <v>747</v>
      </c>
      <c r="I303" s="20" t="s">
        <v>748</v>
      </c>
    </row>
    <row r="304" spans="1:9" ht="15" customHeight="1" x14ac:dyDescent="0.35">
      <c r="A304" s="18">
        <v>300</v>
      </c>
      <c r="B304" s="19" t="s">
        <v>18</v>
      </c>
      <c r="C304" s="19" t="s">
        <v>744</v>
      </c>
      <c r="D304" s="21" t="s">
        <v>749</v>
      </c>
      <c r="E304" s="19" t="s">
        <v>43</v>
      </c>
      <c r="F304" s="18" t="s">
        <v>50</v>
      </c>
      <c r="G304" s="42" t="s">
        <v>496</v>
      </c>
      <c r="H304" s="18" t="s">
        <v>497</v>
      </c>
      <c r="I304" s="20"/>
    </row>
    <row r="305" spans="1:9" ht="15" customHeight="1" x14ac:dyDescent="0.35">
      <c r="A305" s="18">
        <v>301</v>
      </c>
      <c r="B305" s="19" t="s">
        <v>18</v>
      </c>
      <c r="C305" s="19" t="s">
        <v>744</v>
      </c>
      <c r="D305" s="21" t="s">
        <v>750</v>
      </c>
      <c r="E305" s="19" t="s">
        <v>40</v>
      </c>
      <c r="F305" s="18" t="s">
        <v>50</v>
      </c>
      <c r="G305" s="42" t="s">
        <v>496</v>
      </c>
      <c r="H305" s="18" t="s">
        <v>497</v>
      </c>
      <c r="I305" s="20"/>
    </row>
    <row r="306" spans="1:9" ht="15" customHeight="1" x14ac:dyDescent="0.35">
      <c r="A306" s="18">
        <v>302</v>
      </c>
      <c r="B306" s="19" t="s">
        <v>18</v>
      </c>
      <c r="C306" s="19" t="s">
        <v>744</v>
      </c>
      <c r="D306" s="21" t="s">
        <v>751</v>
      </c>
      <c r="E306" s="19" t="s">
        <v>40</v>
      </c>
      <c r="F306" s="18" t="s">
        <v>50</v>
      </c>
      <c r="G306" s="42" t="s">
        <v>496</v>
      </c>
      <c r="H306" s="18" t="s">
        <v>497</v>
      </c>
      <c r="I306" s="20" t="s">
        <v>752</v>
      </c>
    </row>
    <row r="307" spans="1:9" ht="15" customHeight="1" x14ac:dyDescent="0.35">
      <c r="A307" s="18">
        <v>303</v>
      </c>
      <c r="B307" s="19" t="s">
        <v>18</v>
      </c>
      <c r="C307" s="19" t="s">
        <v>744</v>
      </c>
      <c r="D307" s="21" t="s">
        <v>753</v>
      </c>
      <c r="E307" s="19" t="s">
        <v>40</v>
      </c>
      <c r="F307" s="18" t="s">
        <v>50</v>
      </c>
      <c r="G307" s="37" t="s">
        <v>503</v>
      </c>
      <c r="H307" s="18" t="s">
        <v>659</v>
      </c>
      <c r="I307" s="20"/>
    </row>
    <row r="308" spans="1:9" ht="15" customHeight="1" x14ac:dyDescent="0.35">
      <c r="A308" s="18">
        <v>304</v>
      </c>
      <c r="B308" s="19" t="s">
        <v>18</v>
      </c>
      <c r="C308" s="19" t="s">
        <v>744</v>
      </c>
      <c r="D308" s="21" t="s">
        <v>754</v>
      </c>
      <c r="E308" s="19" t="s">
        <v>40</v>
      </c>
      <c r="F308" s="18" t="s">
        <v>50</v>
      </c>
      <c r="G308" s="42" t="s">
        <v>496</v>
      </c>
      <c r="H308" s="18" t="s">
        <v>497</v>
      </c>
      <c r="I308" s="20" t="s">
        <v>752</v>
      </c>
    </row>
    <row r="309" spans="1:9" ht="15" customHeight="1" x14ac:dyDescent="0.35">
      <c r="A309" s="18">
        <v>305</v>
      </c>
      <c r="B309" s="19" t="s">
        <v>18</v>
      </c>
      <c r="C309" s="19" t="s">
        <v>744</v>
      </c>
      <c r="D309" s="21" t="s">
        <v>59</v>
      </c>
      <c r="E309" s="19" t="s">
        <v>56</v>
      </c>
      <c r="F309" s="18" t="s">
        <v>57</v>
      </c>
      <c r="G309" s="42" t="s">
        <v>496</v>
      </c>
      <c r="H309" s="18" t="s">
        <v>497</v>
      </c>
      <c r="I309" s="20" t="s">
        <v>658</v>
      </c>
    </row>
    <row r="310" spans="1:9" ht="15" customHeight="1" x14ac:dyDescent="0.35">
      <c r="A310" s="18">
        <v>306</v>
      </c>
      <c r="B310" s="19" t="s">
        <v>18</v>
      </c>
      <c r="C310" s="19" t="s">
        <v>755</v>
      </c>
      <c r="D310" s="21" t="s">
        <v>756</v>
      </c>
      <c r="E310" s="19" t="s">
        <v>36</v>
      </c>
      <c r="F310" s="18" t="s">
        <v>37</v>
      </c>
      <c r="G310" s="42" t="s">
        <v>496</v>
      </c>
      <c r="H310" s="18" t="s">
        <v>497</v>
      </c>
      <c r="I310" s="20" t="s">
        <v>658</v>
      </c>
    </row>
    <row r="311" spans="1:9" ht="15" customHeight="1" x14ac:dyDescent="0.35">
      <c r="A311" s="18">
        <v>307</v>
      </c>
      <c r="B311" s="19" t="s">
        <v>18</v>
      </c>
      <c r="C311" s="19" t="s">
        <v>755</v>
      </c>
      <c r="D311" s="21" t="s">
        <v>39</v>
      </c>
      <c r="E311" s="19" t="s">
        <v>40</v>
      </c>
      <c r="F311" s="18" t="s">
        <v>37</v>
      </c>
      <c r="G311" s="42" t="s">
        <v>496</v>
      </c>
      <c r="H311" s="18" t="s">
        <v>497</v>
      </c>
      <c r="I311" s="20" t="s">
        <v>658</v>
      </c>
    </row>
    <row r="312" spans="1:9" ht="15" customHeight="1" x14ac:dyDescent="0.35">
      <c r="A312" s="18">
        <v>308</v>
      </c>
      <c r="B312" s="19" t="s">
        <v>18</v>
      </c>
      <c r="C312" s="19" t="s">
        <v>755</v>
      </c>
      <c r="D312" s="21" t="s">
        <v>741</v>
      </c>
      <c r="E312" s="19" t="s">
        <v>40</v>
      </c>
      <c r="F312" s="18" t="s">
        <v>57</v>
      </c>
      <c r="G312" s="42" t="s">
        <v>496</v>
      </c>
      <c r="H312" s="18" t="s">
        <v>497</v>
      </c>
      <c r="I312" s="20" t="s">
        <v>688</v>
      </c>
    </row>
    <row r="313" spans="1:9" ht="15" customHeight="1" x14ac:dyDescent="0.35">
      <c r="A313" s="18">
        <v>309</v>
      </c>
      <c r="B313" s="19" t="s">
        <v>18</v>
      </c>
      <c r="C313" s="19" t="s">
        <v>755</v>
      </c>
      <c r="D313" s="21" t="s">
        <v>42</v>
      </c>
      <c r="E313" s="19" t="s">
        <v>40</v>
      </c>
      <c r="F313" s="18" t="s">
        <v>37</v>
      </c>
      <c r="G313" s="42" t="s">
        <v>496</v>
      </c>
      <c r="H313" s="18" t="s">
        <v>497</v>
      </c>
      <c r="I313" s="20" t="s">
        <v>658</v>
      </c>
    </row>
    <row r="314" spans="1:9" ht="15" customHeight="1" x14ac:dyDescent="0.35">
      <c r="A314" s="18">
        <v>310</v>
      </c>
      <c r="B314" s="19" t="s">
        <v>18</v>
      </c>
      <c r="C314" s="19" t="s">
        <v>755</v>
      </c>
      <c r="D314" s="21" t="s">
        <v>45</v>
      </c>
      <c r="E314" s="19" t="s">
        <v>43</v>
      </c>
      <c r="F314" s="18" t="s">
        <v>57</v>
      </c>
      <c r="G314" s="42" t="s">
        <v>496</v>
      </c>
      <c r="H314" s="18" t="s">
        <v>497</v>
      </c>
      <c r="I314" s="20" t="s">
        <v>757</v>
      </c>
    </row>
    <row r="315" spans="1:9" ht="15" customHeight="1" x14ac:dyDescent="0.35">
      <c r="A315" s="18">
        <v>311</v>
      </c>
      <c r="B315" s="19" t="s">
        <v>18</v>
      </c>
      <c r="C315" s="19" t="s">
        <v>755</v>
      </c>
      <c r="D315" s="21" t="s">
        <v>59</v>
      </c>
      <c r="E315" s="19" t="s">
        <v>56</v>
      </c>
      <c r="F315" s="18" t="s">
        <v>57</v>
      </c>
      <c r="G315" s="42" t="s">
        <v>496</v>
      </c>
      <c r="H315" s="18" t="s">
        <v>497</v>
      </c>
      <c r="I315" s="20" t="s">
        <v>658</v>
      </c>
    </row>
    <row r="316" spans="1:9" ht="15" customHeight="1" x14ac:dyDescent="0.35">
      <c r="A316" s="18">
        <v>312</v>
      </c>
      <c r="B316" s="19" t="s">
        <v>18</v>
      </c>
      <c r="C316" s="19" t="s">
        <v>758</v>
      </c>
      <c r="D316" s="21" t="s">
        <v>759</v>
      </c>
      <c r="E316" s="19" t="s">
        <v>36</v>
      </c>
      <c r="F316" s="18" t="s">
        <v>37</v>
      </c>
      <c r="G316" s="42" t="s">
        <v>496</v>
      </c>
      <c r="H316" s="18" t="s">
        <v>497</v>
      </c>
      <c r="I316" s="20" t="s">
        <v>658</v>
      </c>
    </row>
    <row r="317" spans="1:9" ht="15" customHeight="1" x14ac:dyDescent="0.35">
      <c r="A317" s="18">
        <v>313</v>
      </c>
      <c r="B317" s="19" t="s">
        <v>18</v>
      </c>
      <c r="C317" s="19" t="s">
        <v>758</v>
      </c>
      <c r="D317" s="21" t="s">
        <v>39</v>
      </c>
      <c r="E317" s="19" t="s">
        <v>40</v>
      </c>
      <c r="F317" s="18" t="s">
        <v>37</v>
      </c>
      <c r="G317" s="42" t="s">
        <v>496</v>
      </c>
      <c r="H317" s="18" t="s">
        <v>497</v>
      </c>
      <c r="I317" s="20" t="s">
        <v>658</v>
      </c>
    </row>
    <row r="318" spans="1:9" ht="15" customHeight="1" x14ac:dyDescent="0.35">
      <c r="A318" s="18">
        <v>314</v>
      </c>
      <c r="B318" s="19" t="s">
        <v>18</v>
      </c>
      <c r="C318" s="19" t="s">
        <v>758</v>
      </c>
      <c r="D318" s="21" t="s">
        <v>741</v>
      </c>
      <c r="E318" s="19" t="s">
        <v>40</v>
      </c>
      <c r="F318" s="18" t="s">
        <v>57</v>
      </c>
      <c r="G318" s="42" t="s">
        <v>496</v>
      </c>
      <c r="H318" s="18" t="s">
        <v>497</v>
      </c>
      <c r="I318" s="20" t="s">
        <v>688</v>
      </c>
    </row>
    <row r="319" spans="1:9" ht="15" customHeight="1" x14ac:dyDescent="0.35">
      <c r="A319" s="18">
        <v>315</v>
      </c>
      <c r="B319" s="19" t="s">
        <v>18</v>
      </c>
      <c r="C319" s="19" t="s">
        <v>758</v>
      </c>
      <c r="D319" s="21" t="s">
        <v>42</v>
      </c>
      <c r="E319" s="19" t="s">
        <v>40</v>
      </c>
      <c r="F319" s="18" t="s">
        <v>37</v>
      </c>
      <c r="G319" s="42" t="s">
        <v>496</v>
      </c>
      <c r="H319" s="18" t="s">
        <v>497</v>
      </c>
      <c r="I319" s="20" t="s">
        <v>658</v>
      </c>
    </row>
    <row r="320" spans="1:9" ht="15" customHeight="1" x14ac:dyDescent="0.35">
      <c r="A320" s="18">
        <v>316</v>
      </c>
      <c r="B320" s="19" t="s">
        <v>18</v>
      </c>
      <c r="C320" s="19" t="s">
        <v>758</v>
      </c>
      <c r="D320" s="21" t="s">
        <v>45</v>
      </c>
      <c r="E320" s="19" t="s">
        <v>43</v>
      </c>
      <c r="F320" s="18" t="s">
        <v>57</v>
      </c>
      <c r="G320" s="42" t="s">
        <v>496</v>
      </c>
      <c r="H320" s="18" t="s">
        <v>497</v>
      </c>
      <c r="I320" s="20" t="s">
        <v>757</v>
      </c>
    </row>
    <row r="321" spans="1:9" ht="15" customHeight="1" x14ac:dyDescent="0.35">
      <c r="A321" s="18">
        <v>317</v>
      </c>
      <c r="B321" s="19" t="s">
        <v>18</v>
      </c>
      <c r="C321" s="19" t="s">
        <v>758</v>
      </c>
      <c r="D321" s="21" t="s">
        <v>59</v>
      </c>
      <c r="E321" s="19" t="s">
        <v>56</v>
      </c>
      <c r="F321" s="18" t="s">
        <v>57</v>
      </c>
      <c r="G321" s="42" t="s">
        <v>496</v>
      </c>
      <c r="H321" s="18" t="s">
        <v>497</v>
      </c>
      <c r="I321" s="20" t="s">
        <v>658</v>
      </c>
    </row>
    <row r="322" spans="1:9" ht="15" customHeight="1" x14ac:dyDescent="0.35">
      <c r="A322" s="18">
        <v>318</v>
      </c>
      <c r="B322" s="19" t="s">
        <v>18</v>
      </c>
      <c r="C322" s="19" t="s">
        <v>760</v>
      </c>
      <c r="D322" s="21" t="s">
        <v>761</v>
      </c>
      <c r="E322" s="19" t="s">
        <v>36</v>
      </c>
      <c r="F322" s="18" t="s">
        <v>37</v>
      </c>
      <c r="G322" s="42" t="s">
        <v>496</v>
      </c>
      <c r="H322" s="18" t="s">
        <v>497</v>
      </c>
      <c r="I322" s="20" t="s">
        <v>658</v>
      </c>
    </row>
    <row r="323" spans="1:9" ht="15" customHeight="1" x14ac:dyDescent="0.35">
      <c r="A323" s="18">
        <v>319</v>
      </c>
      <c r="B323" s="19" t="s">
        <v>18</v>
      </c>
      <c r="C323" s="19" t="s">
        <v>760</v>
      </c>
      <c r="D323" s="21" t="s">
        <v>39</v>
      </c>
      <c r="E323" s="19" t="s">
        <v>40</v>
      </c>
      <c r="F323" s="18" t="s">
        <v>37</v>
      </c>
      <c r="G323" s="42" t="s">
        <v>496</v>
      </c>
      <c r="H323" s="18" t="s">
        <v>497</v>
      </c>
      <c r="I323" s="20" t="s">
        <v>658</v>
      </c>
    </row>
    <row r="324" spans="1:9" ht="15" customHeight="1" x14ac:dyDescent="0.35">
      <c r="A324" s="18">
        <v>320</v>
      </c>
      <c r="B324" s="19" t="s">
        <v>18</v>
      </c>
      <c r="C324" s="19" t="s">
        <v>760</v>
      </c>
      <c r="D324" s="21" t="s">
        <v>741</v>
      </c>
      <c r="E324" s="19" t="s">
        <v>40</v>
      </c>
      <c r="F324" s="18" t="s">
        <v>57</v>
      </c>
      <c r="G324" s="42" t="s">
        <v>496</v>
      </c>
      <c r="H324" s="18" t="s">
        <v>497</v>
      </c>
      <c r="I324" s="20" t="s">
        <v>688</v>
      </c>
    </row>
    <row r="325" spans="1:9" ht="15" customHeight="1" x14ac:dyDescent="0.35">
      <c r="A325" s="18">
        <v>321</v>
      </c>
      <c r="B325" s="19" t="s">
        <v>18</v>
      </c>
      <c r="C325" s="19" t="s">
        <v>760</v>
      </c>
      <c r="D325" s="21" t="s">
        <v>42</v>
      </c>
      <c r="E325" s="19" t="s">
        <v>40</v>
      </c>
      <c r="F325" s="18" t="s">
        <v>37</v>
      </c>
      <c r="G325" s="42" t="s">
        <v>496</v>
      </c>
      <c r="H325" s="18" t="s">
        <v>497</v>
      </c>
      <c r="I325" s="20" t="s">
        <v>658</v>
      </c>
    </row>
    <row r="326" spans="1:9" ht="15" customHeight="1" x14ac:dyDescent="0.35">
      <c r="A326" s="18">
        <v>322</v>
      </c>
      <c r="B326" s="19" t="s">
        <v>18</v>
      </c>
      <c r="C326" s="19" t="s">
        <v>760</v>
      </c>
      <c r="D326" s="21" t="s">
        <v>45</v>
      </c>
      <c r="E326" s="19" t="s">
        <v>43</v>
      </c>
      <c r="F326" s="18" t="s">
        <v>57</v>
      </c>
      <c r="G326" s="42" t="s">
        <v>496</v>
      </c>
      <c r="H326" s="18" t="s">
        <v>497</v>
      </c>
      <c r="I326" s="20" t="s">
        <v>757</v>
      </c>
    </row>
    <row r="327" spans="1:9" ht="15" customHeight="1" x14ac:dyDescent="0.35">
      <c r="A327" s="18">
        <v>323</v>
      </c>
      <c r="B327" s="19" t="s">
        <v>18</v>
      </c>
      <c r="C327" s="19" t="s">
        <v>760</v>
      </c>
      <c r="D327" s="21" t="s">
        <v>59</v>
      </c>
      <c r="E327" s="19" t="s">
        <v>56</v>
      </c>
      <c r="F327" s="18" t="s">
        <v>57</v>
      </c>
      <c r="G327" s="42" t="s">
        <v>496</v>
      </c>
      <c r="H327" s="18" t="s">
        <v>497</v>
      </c>
      <c r="I327" s="20" t="s">
        <v>658</v>
      </c>
    </row>
    <row r="328" spans="1:9" ht="15" customHeight="1" x14ac:dyDescent="0.35">
      <c r="A328" s="18">
        <v>324</v>
      </c>
      <c r="B328" s="19" t="s">
        <v>18</v>
      </c>
      <c r="C328" s="19" t="s">
        <v>762</v>
      </c>
      <c r="D328" s="21" t="s">
        <v>763</v>
      </c>
      <c r="E328" s="19" t="s">
        <v>36</v>
      </c>
      <c r="F328" s="18" t="s">
        <v>37</v>
      </c>
      <c r="G328" s="42" t="s">
        <v>496</v>
      </c>
      <c r="H328" s="18" t="s">
        <v>497</v>
      </c>
      <c r="I328" s="20" t="s">
        <v>658</v>
      </c>
    </row>
    <row r="329" spans="1:9" ht="15" customHeight="1" x14ac:dyDescent="0.35">
      <c r="A329" s="18">
        <v>325</v>
      </c>
      <c r="B329" s="19" t="s">
        <v>18</v>
      </c>
      <c r="C329" s="19" t="s">
        <v>762</v>
      </c>
      <c r="D329" s="21" t="s">
        <v>39</v>
      </c>
      <c r="E329" s="19" t="s">
        <v>40</v>
      </c>
      <c r="F329" s="18" t="s">
        <v>37</v>
      </c>
      <c r="G329" s="42" t="s">
        <v>496</v>
      </c>
      <c r="H329" s="18" t="s">
        <v>497</v>
      </c>
      <c r="I329" s="20" t="s">
        <v>658</v>
      </c>
    </row>
    <row r="330" spans="1:9" ht="15" customHeight="1" x14ac:dyDescent="0.35">
      <c r="A330" s="18">
        <v>326</v>
      </c>
      <c r="B330" s="19" t="s">
        <v>18</v>
      </c>
      <c r="C330" s="19" t="s">
        <v>762</v>
      </c>
      <c r="D330" s="21" t="s">
        <v>741</v>
      </c>
      <c r="E330" s="19" t="s">
        <v>40</v>
      </c>
      <c r="F330" s="18" t="s">
        <v>57</v>
      </c>
      <c r="G330" s="42" t="s">
        <v>496</v>
      </c>
      <c r="H330" s="18" t="s">
        <v>497</v>
      </c>
      <c r="I330" s="20" t="s">
        <v>688</v>
      </c>
    </row>
    <row r="331" spans="1:9" ht="15" customHeight="1" x14ac:dyDescent="0.35">
      <c r="A331" s="18">
        <v>327</v>
      </c>
      <c r="B331" s="19" t="s">
        <v>18</v>
      </c>
      <c r="C331" s="19" t="s">
        <v>762</v>
      </c>
      <c r="D331" s="21" t="s">
        <v>42</v>
      </c>
      <c r="E331" s="19" t="s">
        <v>40</v>
      </c>
      <c r="F331" s="18" t="s">
        <v>37</v>
      </c>
      <c r="G331" s="42" t="s">
        <v>496</v>
      </c>
      <c r="H331" s="18" t="s">
        <v>497</v>
      </c>
      <c r="I331" s="20" t="s">
        <v>658</v>
      </c>
    </row>
    <row r="332" spans="1:9" ht="15" customHeight="1" x14ac:dyDescent="0.35">
      <c r="A332" s="18">
        <v>328</v>
      </c>
      <c r="B332" s="19" t="s">
        <v>18</v>
      </c>
      <c r="C332" s="19" t="s">
        <v>762</v>
      </c>
      <c r="D332" s="21" t="s">
        <v>45</v>
      </c>
      <c r="E332" s="19" t="s">
        <v>43</v>
      </c>
      <c r="F332" s="18" t="s">
        <v>57</v>
      </c>
      <c r="G332" s="42" t="s">
        <v>496</v>
      </c>
      <c r="H332" s="18" t="s">
        <v>497</v>
      </c>
      <c r="I332" s="20" t="s">
        <v>757</v>
      </c>
    </row>
    <row r="333" spans="1:9" ht="15" customHeight="1" x14ac:dyDescent="0.35">
      <c r="A333" s="18">
        <v>329</v>
      </c>
      <c r="B333" s="19" t="s">
        <v>18</v>
      </c>
      <c r="C333" s="19" t="s">
        <v>762</v>
      </c>
      <c r="D333" s="21" t="s">
        <v>59</v>
      </c>
      <c r="E333" s="19" t="s">
        <v>56</v>
      </c>
      <c r="F333" s="18" t="s">
        <v>57</v>
      </c>
      <c r="G333" s="42" t="s">
        <v>496</v>
      </c>
      <c r="H333" s="18" t="s">
        <v>497</v>
      </c>
      <c r="I333" s="20" t="s">
        <v>658</v>
      </c>
    </row>
    <row r="334" spans="1:9" ht="15" customHeight="1" x14ac:dyDescent="0.35">
      <c r="A334" s="18">
        <v>330</v>
      </c>
      <c r="B334" s="19" t="s">
        <v>18</v>
      </c>
      <c r="C334" s="19" t="s">
        <v>764</v>
      </c>
      <c r="D334" s="21" t="s">
        <v>765</v>
      </c>
      <c r="E334" s="19" t="s">
        <v>36</v>
      </c>
      <c r="F334" s="18" t="s">
        <v>37</v>
      </c>
      <c r="G334" s="42" t="s">
        <v>496</v>
      </c>
      <c r="H334" s="18" t="s">
        <v>497</v>
      </c>
      <c r="I334" s="20" t="s">
        <v>658</v>
      </c>
    </row>
    <row r="335" spans="1:9" ht="15" customHeight="1" x14ac:dyDescent="0.35">
      <c r="A335" s="18">
        <v>331</v>
      </c>
      <c r="B335" s="19" t="s">
        <v>18</v>
      </c>
      <c r="C335" s="19" t="s">
        <v>764</v>
      </c>
      <c r="D335" s="21" t="s">
        <v>39</v>
      </c>
      <c r="E335" s="19" t="s">
        <v>40</v>
      </c>
      <c r="F335" s="18" t="s">
        <v>37</v>
      </c>
      <c r="G335" s="42" t="s">
        <v>496</v>
      </c>
      <c r="H335" s="18" t="s">
        <v>497</v>
      </c>
      <c r="I335" s="20" t="s">
        <v>658</v>
      </c>
    </row>
    <row r="336" spans="1:9" ht="15" customHeight="1" x14ac:dyDescent="0.35">
      <c r="A336" s="18">
        <v>332</v>
      </c>
      <c r="B336" s="19" t="s">
        <v>18</v>
      </c>
      <c r="C336" s="19" t="s">
        <v>764</v>
      </c>
      <c r="D336" s="21" t="s">
        <v>766</v>
      </c>
      <c r="E336" s="19" t="s">
        <v>767</v>
      </c>
      <c r="F336" s="18" t="s">
        <v>57</v>
      </c>
      <c r="G336" s="36" t="s">
        <v>593</v>
      </c>
      <c r="H336" s="18" t="s">
        <v>768</v>
      </c>
      <c r="I336" s="20"/>
    </row>
    <row r="337" spans="1:9" ht="15" customHeight="1" x14ac:dyDescent="0.35">
      <c r="A337" s="18">
        <v>333</v>
      </c>
      <c r="B337" s="19" t="s">
        <v>18</v>
      </c>
      <c r="C337" s="19" t="s">
        <v>764</v>
      </c>
      <c r="D337" s="21" t="s">
        <v>769</v>
      </c>
      <c r="E337" s="19" t="s">
        <v>36</v>
      </c>
      <c r="F337" s="18" t="s">
        <v>37</v>
      </c>
      <c r="G337" s="42" t="s">
        <v>496</v>
      </c>
      <c r="H337" s="18" t="s">
        <v>497</v>
      </c>
      <c r="I337" s="20" t="s">
        <v>658</v>
      </c>
    </row>
    <row r="338" spans="1:9" ht="15" customHeight="1" x14ac:dyDescent="0.35">
      <c r="A338" s="18">
        <v>334</v>
      </c>
      <c r="B338" s="19" t="s">
        <v>18</v>
      </c>
      <c r="C338" s="19" t="s">
        <v>764</v>
      </c>
      <c r="D338" s="21" t="s">
        <v>770</v>
      </c>
      <c r="E338" s="19" t="s">
        <v>40</v>
      </c>
      <c r="F338" s="18" t="s">
        <v>37</v>
      </c>
      <c r="G338" s="42" t="s">
        <v>496</v>
      </c>
      <c r="H338" s="18" t="s">
        <v>497</v>
      </c>
      <c r="I338" s="20" t="s">
        <v>658</v>
      </c>
    </row>
    <row r="339" spans="1:9" ht="23.25" customHeight="1" x14ac:dyDescent="0.35">
      <c r="A339" s="18">
        <v>335</v>
      </c>
      <c r="B339" s="19" t="s">
        <v>18</v>
      </c>
      <c r="C339" s="19" t="s">
        <v>764</v>
      </c>
      <c r="D339" s="21" t="s">
        <v>771</v>
      </c>
      <c r="E339" s="19" t="s">
        <v>40</v>
      </c>
      <c r="F339" s="18" t="s">
        <v>37</v>
      </c>
      <c r="G339" s="36" t="s">
        <v>593</v>
      </c>
      <c r="H339" s="18" t="s">
        <v>768</v>
      </c>
      <c r="I339" s="20" t="s">
        <v>772</v>
      </c>
    </row>
    <row r="340" spans="1:9" ht="15" customHeight="1" x14ac:dyDescent="0.35">
      <c r="A340" s="18">
        <v>336</v>
      </c>
      <c r="B340" s="19" t="s">
        <v>18</v>
      </c>
      <c r="C340" s="19" t="s">
        <v>764</v>
      </c>
      <c r="D340" s="21" t="s">
        <v>773</v>
      </c>
      <c r="E340" s="19" t="s">
        <v>40</v>
      </c>
      <c r="F340" s="18" t="s">
        <v>37</v>
      </c>
      <c r="G340" s="42" t="s">
        <v>496</v>
      </c>
      <c r="H340" s="18" t="s">
        <v>497</v>
      </c>
      <c r="I340" s="20" t="s">
        <v>658</v>
      </c>
    </row>
    <row r="341" spans="1:9" ht="15" customHeight="1" x14ac:dyDescent="0.35">
      <c r="A341" s="18">
        <v>337</v>
      </c>
      <c r="B341" s="19" t="s">
        <v>18</v>
      </c>
      <c r="C341" s="19" t="s">
        <v>764</v>
      </c>
      <c r="D341" s="21" t="s">
        <v>774</v>
      </c>
      <c r="E341" s="19" t="s">
        <v>40</v>
      </c>
      <c r="F341" s="18" t="s">
        <v>37</v>
      </c>
      <c r="G341" s="42" t="s">
        <v>496</v>
      </c>
      <c r="H341" s="18" t="s">
        <v>497</v>
      </c>
      <c r="I341" s="20" t="s">
        <v>688</v>
      </c>
    </row>
    <row r="342" spans="1:9" ht="15" customHeight="1" x14ac:dyDescent="0.35">
      <c r="A342" s="18">
        <v>338</v>
      </c>
      <c r="B342" s="19" t="s">
        <v>18</v>
      </c>
      <c r="C342" s="19" t="s">
        <v>764</v>
      </c>
      <c r="D342" s="21" t="s">
        <v>775</v>
      </c>
      <c r="E342" s="19" t="s">
        <v>767</v>
      </c>
      <c r="F342" s="18" t="s">
        <v>57</v>
      </c>
      <c r="G342" s="36" t="s">
        <v>593</v>
      </c>
      <c r="H342" s="18" t="s">
        <v>768</v>
      </c>
      <c r="I342" s="20"/>
    </row>
    <row r="343" spans="1:9" ht="15" customHeight="1" x14ac:dyDescent="0.35">
      <c r="A343" s="18">
        <v>339</v>
      </c>
      <c r="B343" s="19" t="s">
        <v>18</v>
      </c>
      <c r="C343" s="19" t="s">
        <v>764</v>
      </c>
      <c r="D343" s="21" t="s">
        <v>776</v>
      </c>
      <c r="E343" s="19" t="s">
        <v>36</v>
      </c>
      <c r="F343" s="18" t="s">
        <v>37</v>
      </c>
      <c r="G343" s="42" t="s">
        <v>496</v>
      </c>
      <c r="H343" s="18" t="s">
        <v>497</v>
      </c>
      <c r="I343" s="20" t="s">
        <v>658</v>
      </c>
    </row>
    <row r="344" spans="1:9" ht="15" customHeight="1" x14ac:dyDescent="0.35">
      <c r="A344" s="18">
        <v>340</v>
      </c>
      <c r="B344" s="19" t="s">
        <v>18</v>
      </c>
      <c r="C344" s="19" t="s">
        <v>764</v>
      </c>
      <c r="D344" s="21" t="s">
        <v>777</v>
      </c>
      <c r="E344" s="19" t="s">
        <v>40</v>
      </c>
      <c r="F344" s="18" t="s">
        <v>37</v>
      </c>
      <c r="G344" s="42" t="s">
        <v>496</v>
      </c>
      <c r="H344" s="18" t="s">
        <v>497</v>
      </c>
      <c r="I344" s="20" t="s">
        <v>658</v>
      </c>
    </row>
    <row r="345" spans="1:9" ht="23.25" customHeight="1" x14ac:dyDescent="0.35">
      <c r="A345" s="18">
        <v>341</v>
      </c>
      <c r="B345" s="19" t="s">
        <v>18</v>
      </c>
      <c r="C345" s="19" t="s">
        <v>764</v>
      </c>
      <c r="D345" s="21" t="s">
        <v>778</v>
      </c>
      <c r="E345" s="19" t="s">
        <v>40</v>
      </c>
      <c r="F345" s="18" t="s">
        <v>37</v>
      </c>
      <c r="G345" s="36" t="s">
        <v>593</v>
      </c>
      <c r="H345" s="18" t="s">
        <v>768</v>
      </c>
      <c r="I345" s="20" t="s">
        <v>772</v>
      </c>
    </row>
    <row r="346" spans="1:9" ht="15" customHeight="1" x14ac:dyDescent="0.35">
      <c r="A346" s="18">
        <v>342</v>
      </c>
      <c r="B346" s="19" t="s">
        <v>18</v>
      </c>
      <c r="C346" s="19" t="s">
        <v>764</v>
      </c>
      <c r="D346" s="21" t="s">
        <v>779</v>
      </c>
      <c r="E346" s="19" t="s">
        <v>40</v>
      </c>
      <c r="F346" s="18" t="s">
        <v>37</v>
      </c>
      <c r="G346" s="42" t="s">
        <v>496</v>
      </c>
      <c r="H346" s="18" t="s">
        <v>497</v>
      </c>
      <c r="I346" s="20" t="s">
        <v>658</v>
      </c>
    </row>
    <row r="347" spans="1:9" ht="15" customHeight="1" x14ac:dyDescent="0.35">
      <c r="A347" s="18">
        <v>343</v>
      </c>
      <c r="B347" s="19" t="s">
        <v>18</v>
      </c>
      <c r="C347" s="19" t="s">
        <v>764</v>
      </c>
      <c r="D347" s="21" t="s">
        <v>780</v>
      </c>
      <c r="E347" s="19" t="s">
        <v>40</v>
      </c>
      <c r="F347" s="18" t="s">
        <v>37</v>
      </c>
      <c r="G347" s="42" t="s">
        <v>496</v>
      </c>
      <c r="H347" s="18" t="s">
        <v>497</v>
      </c>
      <c r="I347" s="20" t="s">
        <v>688</v>
      </c>
    </row>
    <row r="348" spans="1:9" ht="15" customHeight="1" x14ac:dyDescent="0.35">
      <c r="A348" s="18">
        <v>344</v>
      </c>
      <c r="B348" s="19" t="s">
        <v>18</v>
      </c>
      <c r="C348" s="19" t="s">
        <v>764</v>
      </c>
      <c r="D348" s="21" t="s">
        <v>59</v>
      </c>
      <c r="E348" s="19" t="s">
        <v>56</v>
      </c>
      <c r="F348" s="18" t="s">
        <v>57</v>
      </c>
      <c r="G348" s="42" t="s">
        <v>496</v>
      </c>
      <c r="H348" s="18" t="s">
        <v>497</v>
      </c>
      <c r="I348" s="20" t="s">
        <v>658</v>
      </c>
    </row>
    <row r="349" spans="1:9" ht="15" customHeight="1" x14ac:dyDescent="0.35">
      <c r="A349" s="18">
        <v>345</v>
      </c>
      <c r="B349" s="19" t="s">
        <v>18</v>
      </c>
      <c r="C349" s="19" t="s">
        <v>781</v>
      </c>
      <c r="D349" s="21" t="s">
        <v>765</v>
      </c>
      <c r="E349" s="19" t="s">
        <v>36</v>
      </c>
      <c r="F349" s="18" t="s">
        <v>37</v>
      </c>
      <c r="G349" s="42" t="s">
        <v>496</v>
      </c>
      <c r="H349" s="18" t="s">
        <v>497</v>
      </c>
      <c r="I349" s="20" t="s">
        <v>658</v>
      </c>
    </row>
    <row r="350" spans="1:9" ht="15" customHeight="1" x14ac:dyDescent="0.35">
      <c r="A350" s="18">
        <v>346</v>
      </c>
      <c r="B350" s="19" t="s">
        <v>18</v>
      </c>
      <c r="C350" s="19" t="s">
        <v>781</v>
      </c>
      <c r="D350" s="21" t="s">
        <v>39</v>
      </c>
      <c r="E350" s="19" t="s">
        <v>40</v>
      </c>
      <c r="F350" s="18" t="s">
        <v>37</v>
      </c>
      <c r="G350" s="42" t="s">
        <v>496</v>
      </c>
      <c r="H350" s="18" t="s">
        <v>497</v>
      </c>
      <c r="I350" s="20" t="s">
        <v>658</v>
      </c>
    </row>
    <row r="351" spans="1:9" ht="15" customHeight="1" x14ac:dyDescent="0.35">
      <c r="A351" s="18">
        <v>347</v>
      </c>
      <c r="B351" s="19" t="s">
        <v>18</v>
      </c>
      <c r="C351" s="19" t="s">
        <v>781</v>
      </c>
      <c r="D351" s="21" t="s">
        <v>782</v>
      </c>
      <c r="E351" s="19" t="s">
        <v>56</v>
      </c>
      <c r="F351" s="18" t="s">
        <v>57</v>
      </c>
      <c r="G351" s="42" t="s">
        <v>496</v>
      </c>
      <c r="H351" s="18" t="s">
        <v>497</v>
      </c>
      <c r="I351" s="20" t="s">
        <v>783</v>
      </c>
    </row>
    <row r="352" spans="1:9" ht="15" customHeight="1" x14ac:dyDescent="0.35">
      <c r="A352" s="18">
        <v>348</v>
      </c>
      <c r="B352" s="19" t="s">
        <v>18</v>
      </c>
      <c r="C352" s="19" t="s">
        <v>781</v>
      </c>
      <c r="D352" s="21" t="s">
        <v>784</v>
      </c>
      <c r="E352" s="19" t="s">
        <v>56</v>
      </c>
      <c r="F352" s="18" t="s">
        <v>57</v>
      </c>
      <c r="G352" s="42" t="s">
        <v>496</v>
      </c>
      <c r="H352" s="18" t="s">
        <v>497</v>
      </c>
      <c r="I352" s="20" t="s">
        <v>783</v>
      </c>
    </row>
    <row r="353" spans="1:10" ht="15" customHeight="1" x14ac:dyDescent="0.35">
      <c r="A353" s="18">
        <v>349</v>
      </c>
      <c r="B353" s="19" t="s">
        <v>18</v>
      </c>
      <c r="C353" s="19" t="s">
        <v>781</v>
      </c>
      <c r="D353" s="21" t="s">
        <v>785</v>
      </c>
      <c r="E353" s="19" t="s">
        <v>56</v>
      </c>
      <c r="F353" s="18" t="s">
        <v>57</v>
      </c>
      <c r="G353" s="42" t="s">
        <v>496</v>
      </c>
      <c r="H353" s="18" t="s">
        <v>497</v>
      </c>
      <c r="I353" s="20" t="s">
        <v>783</v>
      </c>
    </row>
    <row r="354" spans="1:10" ht="15" customHeight="1" x14ac:dyDescent="0.35">
      <c r="A354" s="18">
        <v>350</v>
      </c>
      <c r="B354" s="19" t="s">
        <v>18</v>
      </c>
      <c r="C354" s="19" t="s">
        <v>781</v>
      </c>
      <c r="D354" s="21" t="s">
        <v>786</v>
      </c>
      <c r="E354" s="19" t="s">
        <v>56</v>
      </c>
      <c r="F354" s="18" t="s">
        <v>57</v>
      </c>
      <c r="G354" s="42" t="s">
        <v>496</v>
      </c>
      <c r="H354" s="18" t="s">
        <v>497</v>
      </c>
      <c r="I354" s="20" t="s">
        <v>783</v>
      </c>
    </row>
    <row r="355" spans="1:10" ht="15" customHeight="1" x14ac:dyDescent="0.35">
      <c r="A355" s="18">
        <v>351</v>
      </c>
      <c r="B355" s="19" t="s">
        <v>18</v>
      </c>
      <c r="C355" s="19" t="s">
        <v>781</v>
      </c>
      <c r="D355" s="21" t="s">
        <v>787</v>
      </c>
      <c r="E355" s="19" t="s">
        <v>56</v>
      </c>
      <c r="F355" s="18" t="s">
        <v>57</v>
      </c>
      <c r="G355" s="42" t="s">
        <v>496</v>
      </c>
      <c r="H355" s="18" t="s">
        <v>497</v>
      </c>
      <c r="I355" s="20" t="s">
        <v>783</v>
      </c>
    </row>
    <row r="356" spans="1:10" ht="15" customHeight="1" x14ac:dyDescent="0.35">
      <c r="A356" s="18">
        <v>352</v>
      </c>
      <c r="B356" s="19" t="s">
        <v>18</v>
      </c>
      <c r="C356" s="19" t="s">
        <v>781</v>
      </c>
      <c r="D356" s="21" t="s">
        <v>283</v>
      </c>
      <c r="E356" s="19" t="s">
        <v>56</v>
      </c>
      <c r="F356" s="18" t="s">
        <v>57</v>
      </c>
      <c r="G356" s="42" t="s">
        <v>496</v>
      </c>
      <c r="H356" s="18" t="s">
        <v>497</v>
      </c>
      <c r="I356" s="20" t="s">
        <v>788</v>
      </c>
    </row>
    <row r="357" spans="1:10" ht="15" customHeight="1" x14ac:dyDescent="0.35">
      <c r="A357" s="18">
        <v>353</v>
      </c>
      <c r="B357" s="19" t="s">
        <v>18</v>
      </c>
      <c r="C357" s="19" t="s">
        <v>781</v>
      </c>
      <c r="D357" s="21" t="s">
        <v>270</v>
      </c>
      <c r="E357" s="19" t="s">
        <v>271</v>
      </c>
      <c r="F357" s="18" t="s">
        <v>50</v>
      </c>
      <c r="G357" s="36" t="s">
        <v>593</v>
      </c>
      <c r="H357" s="18" t="s">
        <v>768</v>
      </c>
      <c r="I357" s="20" t="s">
        <v>789</v>
      </c>
    </row>
    <row r="359" spans="1:10" ht="15" customHeight="1" x14ac:dyDescent="0.35">
      <c r="B359" s="7" t="s">
        <v>790</v>
      </c>
    </row>
    <row r="360" spans="1:10" ht="45.75" customHeight="1" x14ac:dyDescent="0.35">
      <c r="B360" s="12" t="s">
        <v>654</v>
      </c>
      <c r="C360" s="12" t="s">
        <v>791</v>
      </c>
      <c r="D360" s="12" t="s">
        <v>503</v>
      </c>
      <c r="E360" s="12" t="s">
        <v>792</v>
      </c>
      <c r="F360" s="12" t="s">
        <v>593</v>
      </c>
      <c r="G360" s="12" t="s">
        <v>496</v>
      </c>
      <c r="H360" s="12" t="s">
        <v>793</v>
      </c>
      <c r="I360" s="12" t="s">
        <v>794</v>
      </c>
      <c r="J360" s="12" t="s">
        <v>795</v>
      </c>
    </row>
    <row r="361" spans="1:10" ht="15" customHeight="1" x14ac:dyDescent="0.35">
      <c r="B361" s="44" t="s">
        <v>33</v>
      </c>
      <c r="C361" s="14">
        <v>91</v>
      </c>
      <c r="D361" s="14">
        <v>6</v>
      </c>
      <c r="E361" s="14">
        <v>4</v>
      </c>
      <c r="F361" s="14">
        <v>53</v>
      </c>
      <c r="G361" s="14">
        <v>28</v>
      </c>
      <c r="H361" s="45">
        <v>0.40109890109890101</v>
      </c>
      <c r="I361" s="14">
        <v>86</v>
      </c>
      <c r="J361" s="45">
        <v>0.40116279069767402</v>
      </c>
    </row>
    <row r="362" spans="1:10" ht="15" customHeight="1" x14ac:dyDescent="0.35">
      <c r="B362" s="44" t="s">
        <v>229</v>
      </c>
      <c r="C362" s="14">
        <v>8</v>
      </c>
      <c r="D362" s="14">
        <v>2</v>
      </c>
      <c r="E362" s="14">
        <v>1</v>
      </c>
      <c r="F362" s="14">
        <v>0</v>
      </c>
      <c r="G362" s="14">
        <v>5</v>
      </c>
      <c r="H362" s="45">
        <v>0.375</v>
      </c>
      <c r="I362" s="14">
        <v>4</v>
      </c>
      <c r="J362" s="46">
        <v>0.25</v>
      </c>
    </row>
    <row r="363" spans="1:10" ht="15" customHeight="1" x14ac:dyDescent="0.35">
      <c r="B363" s="44" t="s">
        <v>240</v>
      </c>
      <c r="C363" s="14">
        <v>8</v>
      </c>
      <c r="D363" s="14">
        <v>3</v>
      </c>
      <c r="E363" s="14">
        <v>0</v>
      </c>
      <c r="F363" s="14">
        <v>0</v>
      </c>
      <c r="G363" s="14">
        <v>5</v>
      </c>
      <c r="H363" s="45">
        <v>0.375</v>
      </c>
      <c r="I363" s="14">
        <v>4</v>
      </c>
      <c r="J363" s="46">
        <v>0.25</v>
      </c>
    </row>
    <row r="364" spans="1:10" ht="15" customHeight="1" x14ac:dyDescent="0.35">
      <c r="B364" s="44" t="s">
        <v>250</v>
      </c>
      <c r="C364" s="14">
        <v>18</v>
      </c>
      <c r="D364" s="14">
        <v>5</v>
      </c>
      <c r="E364" s="14">
        <v>5</v>
      </c>
      <c r="F364" s="14">
        <v>0</v>
      </c>
      <c r="G364" s="14">
        <v>8</v>
      </c>
      <c r="H364" s="45">
        <v>0.55555555555555602</v>
      </c>
      <c r="I364" s="14">
        <v>14</v>
      </c>
      <c r="J364" s="45">
        <v>0.57142857142857095</v>
      </c>
    </row>
    <row r="365" spans="1:10" ht="15" customHeight="1" x14ac:dyDescent="0.35">
      <c r="B365" s="44" t="s">
        <v>273</v>
      </c>
      <c r="C365" s="14">
        <v>18</v>
      </c>
      <c r="D365" s="14">
        <v>2</v>
      </c>
      <c r="E365" s="14">
        <v>0</v>
      </c>
      <c r="F365" s="14">
        <v>6</v>
      </c>
      <c r="G365" s="14">
        <v>10</v>
      </c>
      <c r="H365" s="46">
        <v>0.27777777777777801</v>
      </c>
      <c r="I365" s="14">
        <v>13</v>
      </c>
      <c r="J365" s="46">
        <v>0.230769230769231</v>
      </c>
    </row>
    <row r="366" spans="1:10" ht="15" customHeight="1" x14ac:dyDescent="0.35">
      <c r="B366" s="44" t="s">
        <v>304</v>
      </c>
      <c r="C366" s="14">
        <v>38</v>
      </c>
      <c r="D366" s="14">
        <v>13</v>
      </c>
      <c r="E366" s="14">
        <v>3</v>
      </c>
      <c r="F366" s="14">
        <v>3</v>
      </c>
      <c r="G366" s="14">
        <v>19</v>
      </c>
      <c r="H366" s="45">
        <v>0.46052631578947401</v>
      </c>
      <c r="I366" s="14">
        <v>32</v>
      </c>
      <c r="J366" s="45">
        <v>0.515625</v>
      </c>
    </row>
    <row r="367" spans="1:10" ht="15" customHeight="1" x14ac:dyDescent="0.35">
      <c r="B367" s="44" t="s">
        <v>367</v>
      </c>
      <c r="C367" s="14">
        <v>13</v>
      </c>
      <c r="D367" s="14">
        <v>4</v>
      </c>
      <c r="E367" s="14">
        <v>0</v>
      </c>
      <c r="F367" s="14">
        <v>0</v>
      </c>
      <c r="G367" s="14">
        <v>9</v>
      </c>
      <c r="H367" s="45">
        <v>0.30769230769230799</v>
      </c>
      <c r="I367" s="14">
        <v>5</v>
      </c>
      <c r="J367" s="45">
        <v>0.4</v>
      </c>
    </row>
    <row r="368" spans="1:10" ht="15" customHeight="1" x14ac:dyDescent="0.35">
      <c r="B368" s="44" t="s">
        <v>372</v>
      </c>
      <c r="C368" s="14">
        <v>9</v>
      </c>
      <c r="D368" s="14">
        <v>1</v>
      </c>
      <c r="E368" s="14">
        <v>1</v>
      </c>
      <c r="F368" s="14">
        <v>0</v>
      </c>
      <c r="G368" s="14">
        <v>7</v>
      </c>
      <c r="H368" s="46">
        <v>0.22222222222222199</v>
      </c>
      <c r="I368" s="14">
        <v>4</v>
      </c>
      <c r="J368" s="46">
        <v>0.25</v>
      </c>
    </row>
    <row r="369" spans="2:10" ht="15" customHeight="1" x14ac:dyDescent="0.35">
      <c r="B369" s="44" t="s">
        <v>382</v>
      </c>
      <c r="C369" s="14">
        <v>9</v>
      </c>
      <c r="D369" s="14">
        <v>1</v>
      </c>
      <c r="E369" s="14">
        <v>1</v>
      </c>
      <c r="F369" s="14">
        <v>1</v>
      </c>
      <c r="G369" s="14">
        <v>6</v>
      </c>
      <c r="H369" s="46">
        <v>0.27777777777777801</v>
      </c>
      <c r="I369" s="14">
        <v>5</v>
      </c>
      <c r="J369" s="45">
        <v>0.3</v>
      </c>
    </row>
    <row r="370" spans="2:10" ht="15" customHeight="1" x14ac:dyDescent="0.35">
      <c r="B370" s="44" t="s">
        <v>386</v>
      </c>
      <c r="C370" s="14">
        <v>8</v>
      </c>
      <c r="D370" s="14">
        <v>2</v>
      </c>
      <c r="E370" s="14">
        <v>0</v>
      </c>
      <c r="F370" s="14">
        <v>0</v>
      </c>
      <c r="G370" s="14">
        <v>6</v>
      </c>
      <c r="H370" s="46">
        <v>0.25</v>
      </c>
      <c r="I370" s="14">
        <v>4</v>
      </c>
      <c r="J370" s="46">
        <v>0.25</v>
      </c>
    </row>
    <row r="371" spans="2:10" ht="15" customHeight="1" x14ac:dyDescent="0.35">
      <c r="B371" s="44" t="s">
        <v>388</v>
      </c>
      <c r="C371" s="14">
        <v>27</v>
      </c>
      <c r="D371" s="14">
        <v>6</v>
      </c>
      <c r="E371" s="14">
        <v>2</v>
      </c>
      <c r="F371" s="14">
        <v>4</v>
      </c>
      <c r="G371" s="14">
        <v>15</v>
      </c>
      <c r="H371" s="45">
        <v>0.37037037037037002</v>
      </c>
      <c r="I371" s="14">
        <v>23</v>
      </c>
      <c r="J371" s="45">
        <v>0.39130434782608697</v>
      </c>
    </row>
    <row r="372" spans="2:10" ht="15" customHeight="1" x14ac:dyDescent="0.35">
      <c r="B372" s="44" t="s">
        <v>417</v>
      </c>
      <c r="C372" s="14">
        <v>8</v>
      </c>
      <c r="D372" s="14">
        <v>3</v>
      </c>
      <c r="E372" s="14">
        <v>0</v>
      </c>
      <c r="F372" s="14">
        <v>0</v>
      </c>
      <c r="G372" s="14">
        <v>5</v>
      </c>
      <c r="H372" s="45">
        <v>0.375</v>
      </c>
      <c r="I372" s="14">
        <v>2</v>
      </c>
      <c r="J372" s="47">
        <v>1</v>
      </c>
    </row>
    <row r="373" spans="2:10" ht="15" customHeight="1" x14ac:dyDescent="0.35">
      <c r="B373" s="44" t="s">
        <v>428</v>
      </c>
      <c r="C373" s="14">
        <v>20</v>
      </c>
      <c r="D373" s="14">
        <v>1</v>
      </c>
      <c r="E373" s="14">
        <v>0</v>
      </c>
      <c r="F373" s="14">
        <v>4</v>
      </c>
      <c r="G373" s="14">
        <v>15</v>
      </c>
      <c r="H373" s="46">
        <v>0.15</v>
      </c>
      <c r="I373" s="14">
        <v>10</v>
      </c>
      <c r="J373" s="45">
        <v>0.3</v>
      </c>
    </row>
    <row r="374" spans="2:10" ht="15" customHeight="1" x14ac:dyDescent="0.35">
      <c r="B374" s="44" t="s">
        <v>473</v>
      </c>
      <c r="C374" s="14">
        <v>13</v>
      </c>
      <c r="D374" s="14">
        <v>1</v>
      </c>
      <c r="E374" s="14">
        <v>0</v>
      </c>
      <c r="F374" s="14">
        <v>2</v>
      </c>
      <c r="G374" s="14">
        <v>10</v>
      </c>
      <c r="H374" s="46">
        <v>0.15384615384615399</v>
      </c>
      <c r="I374" s="14">
        <v>9</v>
      </c>
      <c r="J374" s="46">
        <v>0.22222222222222199</v>
      </c>
    </row>
    <row r="375" spans="2:10" ht="15" customHeight="1" x14ac:dyDescent="0.35">
      <c r="B375" s="44" t="s">
        <v>739</v>
      </c>
      <c r="C375" s="14">
        <v>6</v>
      </c>
      <c r="D375" s="14">
        <v>2</v>
      </c>
      <c r="E375" s="14">
        <v>0</v>
      </c>
      <c r="F375" s="14">
        <v>0</v>
      </c>
      <c r="G375" s="14">
        <v>4</v>
      </c>
      <c r="H375" s="45">
        <v>0.33333333333333298</v>
      </c>
      <c r="I375" s="14">
        <v>1</v>
      </c>
      <c r="J375" s="47">
        <v>1</v>
      </c>
    </row>
    <row r="376" spans="2:10" ht="15" customHeight="1" x14ac:dyDescent="0.35">
      <c r="B376" s="44" t="s">
        <v>744</v>
      </c>
      <c r="C376" s="14">
        <v>11</v>
      </c>
      <c r="D376" s="14">
        <v>1</v>
      </c>
      <c r="E376" s="14">
        <v>0</v>
      </c>
      <c r="F376" s="14">
        <v>1</v>
      </c>
      <c r="G376" s="14">
        <v>9</v>
      </c>
      <c r="H376" s="46">
        <v>0.13636363636363599</v>
      </c>
      <c r="I376" s="14">
        <v>6</v>
      </c>
      <c r="J376" s="46">
        <v>0.25</v>
      </c>
    </row>
    <row r="377" spans="2:10" ht="15" customHeight="1" x14ac:dyDescent="0.35">
      <c r="B377" s="44" t="s">
        <v>755</v>
      </c>
      <c r="C377" s="14">
        <v>6</v>
      </c>
      <c r="D377" s="14">
        <v>0</v>
      </c>
      <c r="E377" s="14">
        <v>0</v>
      </c>
      <c r="F377" s="14">
        <v>0</v>
      </c>
      <c r="G377" s="14">
        <v>6</v>
      </c>
      <c r="H377" s="46">
        <v>0</v>
      </c>
      <c r="I377" s="14">
        <v>1</v>
      </c>
      <c r="J377" s="46">
        <v>0</v>
      </c>
    </row>
    <row r="378" spans="2:10" ht="15" customHeight="1" x14ac:dyDescent="0.35">
      <c r="B378" s="44" t="s">
        <v>758</v>
      </c>
      <c r="C378" s="14">
        <v>6</v>
      </c>
      <c r="D378" s="14">
        <v>0</v>
      </c>
      <c r="E378" s="14">
        <v>0</v>
      </c>
      <c r="F378" s="14">
        <v>0</v>
      </c>
      <c r="G378" s="14">
        <v>6</v>
      </c>
      <c r="H378" s="46">
        <v>0</v>
      </c>
      <c r="I378" s="14">
        <v>1</v>
      </c>
      <c r="J378" s="46">
        <v>0</v>
      </c>
    </row>
    <row r="379" spans="2:10" ht="15" customHeight="1" x14ac:dyDescent="0.35">
      <c r="B379" s="44" t="s">
        <v>760</v>
      </c>
      <c r="C379" s="14">
        <v>6</v>
      </c>
      <c r="D379" s="14">
        <v>0</v>
      </c>
      <c r="E379" s="14">
        <v>0</v>
      </c>
      <c r="F379" s="14">
        <v>0</v>
      </c>
      <c r="G379" s="14">
        <v>6</v>
      </c>
      <c r="H379" s="46">
        <v>0</v>
      </c>
      <c r="I379" s="14">
        <v>1</v>
      </c>
      <c r="J379" s="46">
        <v>0</v>
      </c>
    </row>
    <row r="380" spans="2:10" ht="15" customHeight="1" x14ac:dyDescent="0.35">
      <c r="B380" s="44" t="s">
        <v>762</v>
      </c>
      <c r="C380" s="14">
        <v>6</v>
      </c>
      <c r="D380" s="14">
        <v>0</v>
      </c>
      <c r="E380" s="14">
        <v>0</v>
      </c>
      <c r="F380" s="14">
        <v>0</v>
      </c>
      <c r="G380" s="14">
        <v>6</v>
      </c>
      <c r="H380" s="46">
        <v>0</v>
      </c>
      <c r="I380" s="14">
        <v>1</v>
      </c>
      <c r="J380" s="46">
        <v>0</v>
      </c>
    </row>
    <row r="381" spans="2:10" ht="15" customHeight="1" x14ac:dyDescent="0.35">
      <c r="B381" s="44" t="s">
        <v>764</v>
      </c>
      <c r="C381" s="14">
        <v>15</v>
      </c>
      <c r="D381" s="14">
        <v>0</v>
      </c>
      <c r="E381" s="14">
        <v>0</v>
      </c>
      <c r="F381" s="14">
        <v>4</v>
      </c>
      <c r="G381" s="14">
        <v>11</v>
      </c>
      <c r="H381" s="46">
        <v>0.133333333333333</v>
      </c>
      <c r="I381" s="14">
        <v>12</v>
      </c>
      <c r="J381" s="46">
        <v>0.16666666666666699</v>
      </c>
    </row>
    <row r="382" spans="2:10" ht="15" customHeight="1" x14ac:dyDescent="0.35">
      <c r="B382" s="44" t="s">
        <v>781</v>
      </c>
      <c r="C382" s="14">
        <v>9</v>
      </c>
      <c r="D382" s="14">
        <v>0</v>
      </c>
      <c r="E382" s="14">
        <v>0</v>
      </c>
      <c r="F382" s="14">
        <v>1</v>
      </c>
      <c r="G382" s="14">
        <v>8</v>
      </c>
      <c r="H382" s="46">
        <v>5.5555555555555601E-2</v>
      </c>
      <c r="I382" s="14">
        <v>7</v>
      </c>
      <c r="J382" s="46">
        <v>7.1428571428571397E-2</v>
      </c>
    </row>
    <row r="383" spans="2:10" ht="15" customHeight="1" x14ac:dyDescent="0.35">
      <c r="B383" s="10" t="s">
        <v>551</v>
      </c>
      <c r="C383" s="34">
        <v>353</v>
      </c>
      <c r="D383" s="34">
        <v>53</v>
      </c>
      <c r="E383" s="34">
        <v>17</v>
      </c>
      <c r="F383" s="34">
        <v>79</v>
      </c>
      <c r="G383" s="34">
        <v>204</v>
      </c>
    </row>
    <row r="385" spans="2:9" ht="15" customHeight="1" x14ac:dyDescent="0.35">
      <c r="B385" s="7" t="s">
        <v>796</v>
      </c>
    </row>
    <row r="386" spans="2:9" ht="45.75" customHeight="1" x14ac:dyDescent="0.35">
      <c r="B386" s="10" t="s">
        <v>797</v>
      </c>
      <c r="C386" s="2" t="s">
        <v>798</v>
      </c>
      <c r="D386" s="2"/>
      <c r="E386" s="2"/>
      <c r="F386" s="2"/>
      <c r="G386" s="2"/>
      <c r="H386" s="2"/>
      <c r="I386" s="2"/>
    </row>
    <row r="387" spans="2:9" ht="45.75" customHeight="1" x14ac:dyDescent="0.35">
      <c r="B387" s="10" t="s">
        <v>799</v>
      </c>
      <c r="C387" s="2" t="s">
        <v>800</v>
      </c>
      <c r="D387" s="2"/>
      <c r="E387" s="2"/>
      <c r="F387" s="2"/>
      <c r="G387" s="2"/>
      <c r="H387" s="2"/>
      <c r="I387" s="2"/>
    </row>
    <row r="388" spans="2:9" ht="45.75" customHeight="1" x14ac:dyDescent="0.35">
      <c r="B388" s="10" t="s">
        <v>801</v>
      </c>
      <c r="C388" s="2" t="s">
        <v>802</v>
      </c>
      <c r="D388" s="2"/>
      <c r="E388" s="2"/>
      <c r="F388" s="2"/>
      <c r="G388" s="2"/>
      <c r="H388" s="2"/>
      <c r="I388" s="2"/>
    </row>
    <row r="389" spans="2:9" ht="45.75" customHeight="1" x14ac:dyDescent="0.35">
      <c r="B389" s="10" t="s">
        <v>803</v>
      </c>
      <c r="C389" s="2" t="s">
        <v>804</v>
      </c>
      <c r="D389" s="2"/>
      <c r="E389" s="2"/>
      <c r="F389" s="2"/>
      <c r="G389" s="2"/>
      <c r="H389" s="2"/>
      <c r="I389" s="2"/>
    </row>
    <row r="390" spans="2:9" ht="45.75" customHeight="1" x14ac:dyDescent="0.35">
      <c r="B390" s="10" t="s">
        <v>805</v>
      </c>
      <c r="C390" s="2" t="s">
        <v>806</v>
      </c>
      <c r="D390" s="2"/>
      <c r="E390" s="2"/>
      <c r="F390" s="2"/>
      <c r="G390" s="2"/>
      <c r="H390" s="2"/>
      <c r="I390" s="2"/>
    </row>
  </sheetData>
  <autoFilter ref="A4:I357" xr:uid="{00000000-0009-0000-0000-000006000000}"/>
  <mergeCells count="6">
    <mergeCell ref="C390:I390"/>
    <mergeCell ref="A2:H2"/>
    <mergeCell ref="C386:I386"/>
    <mergeCell ref="C387:I387"/>
    <mergeCell ref="C388:I388"/>
    <mergeCell ref="C389:I389"/>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E37"/>
  <sheetViews>
    <sheetView tabSelected="1" zoomScaleNormal="100" workbookViewId="0">
      <selection activeCell="C24" sqref="C24"/>
    </sheetView>
  </sheetViews>
  <sheetFormatPr baseColWidth="10" defaultColWidth="8.6328125" defaultRowHeight="14.5" x14ac:dyDescent="0.35"/>
  <cols>
    <col min="1" max="1" width="46" customWidth="1"/>
    <col min="2" max="2" width="2" customWidth="1"/>
    <col min="3" max="4" width="20" customWidth="1"/>
    <col min="5" max="5" width="60" customWidth="1"/>
  </cols>
  <sheetData>
    <row r="1" spans="1:5" ht="18" x14ac:dyDescent="0.4">
      <c r="A1" s="48" t="s">
        <v>807</v>
      </c>
    </row>
    <row r="2" spans="1:5" ht="25.5" customHeight="1" x14ac:dyDescent="0.35">
      <c r="A2" s="49" t="s">
        <v>1100</v>
      </c>
      <c r="B2" s="49"/>
      <c r="C2" s="49"/>
      <c r="D2" s="49"/>
      <c r="E2" s="49"/>
    </row>
    <row r="4" spans="1:5" x14ac:dyDescent="0.35">
      <c r="A4" s="28" t="s">
        <v>808</v>
      </c>
      <c r="C4" s="12" t="s">
        <v>1096</v>
      </c>
      <c r="D4" s="12" t="s">
        <v>1095</v>
      </c>
      <c r="E4" s="50" t="s">
        <v>19</v>
      </c>
    </row>
    <row r="5" spans="1:5" ht="25.5" customHeight="1" x14ac:dyDescent="0.35">
      <c r="A5" s="51" t="s">
        <v>809</v>
      </c>
      <c r="C5" s="61">
        <v>1000</v>
      </c>
      <c r="D5" s="61">
        <v>7910</v>
      </c>
      <c r="E5" s="68" t="s">
        <v>1109</v>
      </c>
    </row>
    <row r="6" spans="1:5" ht="25.5" customHeight="1" x14ac:dyDescent="0.35">
      <c r="A6" s="51" t="s">
        <v>810</v>
      </c>
      <c r="C6" s="61">
        <v>2500</v>
      </c>
      <c r="D6" s="61">
        <v>6343</v>
      </c>
      <c r="E6" s="49"/>
    </row>
    <row r="7" spans="1:5" ht="25.5" customHeight="1" x14ac:dyDescent="0.35">
      <c r="A7" s="51" t="s">
        <v>811</v>
      </c>
      <c r="C7" s="61">
        <v>4000</v>
      </c>
      <c r="D7" s="61">
        <v>29851</v>
      </c>
      <c r="E7" s="49"/>
    </row>
    <row r="8" spans="1:5" ht="25.5" customHeight="1" x14ac:dyDescent="0.35">
      <c r="A8" s="51" t="s">
        <v>812</v>
      </c>
      <c r="C8" s="62">
        <v>0.15</v>
      </c>
      <c r="D8" s="62">
        <v>0.15</v>
      </c>
      <c r="E8" s="49" t="s">
        <v>813</v>
      </c>
    </row>
    <row r="9" spans="1:5" ht="25.5" customHeight="1" x14ac:dyDescent="0.35">
      <c r="A9" s="51" t="s">
        <v>814</v>
      </c>
      <c r="C9" s="62">
        <v>0.5</v>
      </c>
      <c r="D9" s="62">
        <v>0.5</v>
      </c>
      <c r="E9" s="49"/>
    </row>
    <row r="10" spans="1:5" ht="25.5" customHeight="1" x14ac:dyDescent="0.35">
      <c r="A10" s="51" t="s">
        <v>815</v>
      </c>
      <c r="C10" s="62">
        <v>0.35</v>
      </c>
      <c r="D10" s="62">
        <v>0.35</v>
      </c>
      <c r="E10" s="49"/>
    </row>
    <row r="11" spans="1:5" ht="25.5" customHeight="1" x14ac:dyDescent="0.35">
      <c r="A11" s="51" t="s">
        <v>816</v>
      </c>
      <c r="C11" s="61">
        <v>90</v>
      </c>
      <c r="D11" s="61">
        <v>90</v>
      </c>
      <c r="E11" s="49" t="s">
        <v>817</v>
      </c>
    </row>
    <row r="12" spans="1:5" ht="25.5" customHeight="1" x14ac:dyDescent="0.35">
      <c r="A12" s="51" t="s">
        <v>818</v>
      </c>
      <c r="C12" s="61">
        <v>25</v>
      </c>
      <c r="D12" s="61">
        <v>25</v>
      </c>
      <c r="E12" s="49" t="s">
        <v>1097</v>
      </c>
    </row>
    <row r="13" spans="1:5" ht="25.5" customHeight="1" x14ac:dyDescent="0.35">
      <c r="A13" s="51" t="s">
        <v>819</v>
      </c>
      <c r="C13" s="61">
        <v>10</v>
      </c>
      <c r="D13" s="61">
        <v>10</v>
      </c>
      <c r="E13" s="49"/>
    </row>
    <row r="14" spans="1:5" ht="25.5" customHeight="1" x14ac:dyDescent="0.35">
      <c r="A14" s="51" t="s">
        <v>820</v>
      </c>
      <c r="C14" s="61">
        <v>12</v>
      </c>
      <c r="D14" s="61">
        <v>12</v>
      </c>
      <c r="E14" s="49" t="s">
        <v>821</v>
      </c>
    </row>
    <row r="15" spans="1:5" ht="25.5" customHeight="1" x14ac:dyDescent="0.35">
      <c r="A15" s="51" t="s">
        <v>822</v>
      </c>
      <c r="C15" s="61">
        <v>2</v>
      </c>
      <c r="D15" s="61">
        <v>2</v>
      </c>
      <c r="E15" s="49" t="s">
        <v>1098</v>
      </c>
    </row>
    <row r="16" spans="1:5" ht="25.5" hidden="1" customHeight="1" x14ac:dyDescent="0.35">
      <c r="A16" s="51" t="s">
        <v>823</v>
      </c>
      <c r="C16" s="61">
        <v>0</v>
      </c>
      <c r="D16" s="61">
        <v>0</v>
      </c>
      <c r="E16" s="49" t="s">
        <v>824</v>
      </c>
    </row>
    <row r="17" spans="1:5" ht="25.5" customHeight="1" x14ac:dyDescent="0.35">
      <c r="A17" s="51" t="s">
        <v>825</v>
      </c>
      <c r="C17" s="62">
        <v>0</v>
      </c>
      <c r="D17" s="62">
        <v>0</v>
      </c>
      <c r="E17" s="49" t="s">
        <v>1099</v>
      </c>
    </row>
    <row r="18" spans="1:5" ht="25.5" customHeight="1" x14ac:dyDescent="0.35">
      <c r="A18" s="51" t="s">
        <v>826</v>
      </c>
      <c r="C18" s="62">
        <v>0</v>
      </c>
      <c r="D18" s="62">
        <v>0</v>
      </c>
      <c r="E18" s="49" t="s">
        <v>1099</v>
      </c>
    </row>
    <row r="19" spans="1:5" ht="25.5" customHeight="1" x14ac:dyDescent="0.35">
      <c r="A19" s="51" t="s">
        <v>827</v>
      </c>
      <c r="C19" s="63">
        <v>40</v>
      </c>
      <c r="D19" s="63">
        <v>40</v>
      </c>
      <c r="E19" s="49"/>
    </row>
    <row r="20" spans="1:5" ht="25.5" customHeight="1" x14ac:dyDescent="0.35">
      <c r="A20" s="51" t="s">
        <v>828</v>
      </c>
      <c r="C20" s="61">
        <v>1760</v>
      </c>
      <c r="D20" s="61">
        <v>1760</v>
      </c>
      <c r="E20" s="49" t="s">
        <v>1094</v>
      </c>
    </row>
    <row r="21" spans="1:5" x14ac:dyDescent="0.35">
      <c r="A21" s="52" t="s">
        <v>829</v>
      </c>
      <c r="C21" s="53">
        <f>SUM(C8:C10)</f>
        <v>1</v>
      </c>
      <c r="D21" s="53">
        <f>SUM(D8:D10)</f>
        <v>1</v>
      </c>
    </row>
    <row r="23" spans="1:5" x14ac:dyDescent="0.35">
      <c r="A23" s="28" t="s">
        <v>830</v>
      </c>
    </row>
    <row r="24" spans="1:5" x14ac:dyDescent="0.35">
      <c r="A24" s="51" t="s">
        <v>831</v>
      </c>
      <c r="C24" s="54">
        <f>C5*(C8*C11+C9*C12+C10*C13)/60</f>
        <v>491.66666666666669</v>
      </c>
      <c r="D24" s="54">
        <f>D5*(D8*D11+D9*D12+D10*D13)/60</f>
        <v>3889.0833333333335</v>
      </c>
    </row>
    <row r="25" spans="1:5" x14ac:dyDescent="0.35">
      <c r="A25" s="51" t="s">
        <v>832</v>
      </c>
      <c r="C25" s="54">
        <f>C6*C14/60</f>
        <v>500</v>
      </c>
      <c r="D25" s="54">
        <f>D6*D14/60</f>
        <v>1268.5999999999999</v>
      </c>
    </row>
    <row r="26" spans="1:5" x14ac:dyDescent="0.35">
      <c r="A26" s="51" t="s">
        <v>833</v>
      </c>
      <c r="C26" s="54">
        <f>C7*C15/60</f>
        <v>133.33333333333334</v>
      </c>
      <c r="D26" s="54">
        <f>D7*D15/60</f>
        <v>995.0333333333333</v>
      </c>
    </row>
    <row r="27" spans="1:5" x14ac:dyDescent="0.35">
      <c r="A27" s="51" t="s">
        <v>834</v>
      </c>
      <c r="C27" s="54">
        <f>C16</f>
        <v>0</v>
      </c>
      <c r="D27" s="54">
        <f>D16</f>
        <v>0</v>
      </c>
    </row>
    <row r="28" spans="1:5" x14ac:dyDescent="0.35">
      <c r="A28" s="55" t="s">
        <v>835</v>
      </c>
      <c r="C28" s="54">
        <f>SUM(C24:C27)</f>
        <v>1125</v>
      </c>
      <c r="D28" s="54">
        <f>SUM(D24:D27)</f>
        <v>6152.7166666666672</v>
      </c>
    </row>
    <row r="29" spans="1:5" x14ac:dyDescent="0.35">
      <c r="A29" s="51" t="s">
        <v>836</v>
      </c>
      <c r="C29" s="54">
        <f>C28*C17</f>
        <v>0</v>
      </c>
      <c r="D29" s="54">
        <f>D28*D17</f>
        <v>0</v>
      </c>
    </row>
    <row r="30" spans="1:5" x14ac:dyDescent="0.35">
      <c r="A30" s="51" t="s">
        <v>837</v>
      </c>
      <c r="C30" s="54">
        <f>C28*C18</f>
        <v>0</v>
      </c>
      <c r="D30" s="54">
        <f>D28*D18</f>
        <v>0</v>
      </c>
    </row>
    <row r="31" spans="1:5" x14ac:dyDescent="0.35">
      <c r="A31" s="55" t="s">
        <v>838</v>
      </c>
      <c r="C31" s="56">
        <f>C28+C29+C30</f>
        <v>1125</v>
      </c>
      <c r="D31" s="56">
        <f>D28+D29+D30</f>
        <v>6152.7166666666672</v>
      </c>
    </row>
    <row r="32" spans="1:5" x14ac:dyDescent="0.35">
      <c r="A32" s="55" t="s">
        <v>839</v>
      </c>
      <c r="C32" s="57">
        <f>C31*C19</f>
        <v>45000</v>
      </c>
      <c r="D32" s="57">
        <f>D31*D19</f>
        <v>246108.66666666669</v>
      </c>
    </row>
    <row r="33" spans="1:4" x14ac:dyDescent="0.35">
      <c r="A33" s="51" t="s">
        <v>840</v>
      </c>
      <c r="C33" s="58">
        <f>C31/C20</f>
        <v>0.63920454545454541</v>
      </c>
      <c r="D33" s="58">
        <f>D31/D20</f>
        <v>3.4958617424242426</v>
      </c>
    </row>
    <row r="35" spans="1:4" x14ac:dyDescent="0.35">
      <c r="A35" s="28" t="s">
        <v>841</v>
      </c>
    </row>
    <row r="36" spans="1:4" x14ac:dyDescent="0.35">
      <c r="A36" s="51" t="s">
        <v>842</v>
      </c>
      <c r="C36" s="59">
        <f>C31/(C20/12)</f>
        <v>7.6704545454545459</v>
      </c>
      <c r="D36" s="59">
        <f>D31/(D20/12)</f>
        <v>41.950340909090912</v>
      </c>
    </row>
    <row r="37" spans="1:4" x14ac:dyDescent="0.35">
      <c r="A37" s="51" t="s">
        <v>843</v>
      </c>
      <c r="C37" s="59">
        <f>C31/(2*C20/12)</f>
        <v>3.8352272727272729</v>
      </c>
      <c r="D37" s="59">
        <f>D31/(2*D20/12)</f>
        <v>20.975170454545456</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77"/>
  <sheetViews>
    <sheetView zoomScaleNormal="100" workbookViewId="0">
      <pane ySplit="4" topLeftCell="A5" activePane="bottomLeft" state="frozen"/>
      <selection pane="bottomLeft"/>
    </sheetView>
  </sheetViews>
  <sheetFormatPr baseColWidth="10" defaultColWidth="8.6328125" defaultRowHeight="14.5" x14ac:dyDescent="0.35"/>
  <cols>
    <col min="1" max="1" width="5" customWidth="1"/>
    <col min="2" max="2" width="11" customWidth="1"/>
    <col min="3" max="3" width="30" customWidth="1"/>
    <col min="4" max="4" width="16" customWidth="1"/>
    <col min="5" max="5" width="34" customWidth="1"/>
    <col min="6" max="6" width="27" customWidth="1"/>
    <col min="7" max="7" width="26" customWidth="1"/>
    <col min="8" max="8" width="6" customWidth="1"/>
    <col min="9" max="9" width="70" customWidth="1"/>
    <col min="10" max="10" width="46" customWidth="1"/>
  </cols>
  <sheetData>
    <row r="1" spans="1:10" ht="15.75" customHeight="1" x14ac:dyDescent="0.35">
      <c r="A1" s="16" t="s">
        <v>844</v>
      </c>
    </row>
    <row r="2" spans="1:10" ht="15" customHeight="1" x14ac:dyDescent="0.35">
      <c r="A2" s="15" t="s">
        <v>845</v>
      </c>
    </row>
    <row r="4" spans="1:10" ht="15" customHeight="1" x14ac:dyDescent="0.35">
      <c r="A4" s="17" t="s">
        <v>23</v>
      </c>
      <c r="B4" s="17" t="s">
        <v>24</v>
      </c>
      <c r="C4" s="17" t="s">
        <v>25</v>
      </c>
      <c r="D4" s="17" t="s">
        <v>26</v>
      </c>
      <c r="E4" s="17" t="s">
        <v>27</v>
      </c>
      <c r="F4" s="17" t="s">
        <v>28</v>
      </c>
      <c r="G4" s="17" t="s">
        <v>29</v>
      </c>
      <c r="H4" s="17" t="s">
        <v>30</v>
      </c>
      <c r="I4" s="17" t="s">
        <v>31</v>
      </c>
      <c r="J4" s="17" t="s">
        <v>32</v>
      </c>
    </row>
    <row r="5" spans="1:10" ht="15" customHeight="1" x14ac:dyDescent="0.35">
      <c r="A5" s="4" t="s">
        <v>739</v>
      </c>
      <c r="B5" s="4"/>
      <c r="C5" s="4"/>
      <c r="D5" s="4"/>
      <c r="E5" s="4"/>
      <c r="F5" s="4"/>
      <c r="G5" s="4"/>
      <c r="H5" s="4"/>
      <c r="I5" s="4"/>
      <c r="J5" s="4"/>
    </row>
    <row r="6" spans="1:10" ht="15" customHeight="1" x14ac:dyDescent="0.35">
      <c r="A6" s="18">
        <v>1</v>
      </c>
      <c r="B6" s="18" t="s">
        <v>5</v>
      </c>
      <c r="C6" s="19" t="s">
        <v>739</v>
      </c>
      <c r="D6" s="19" t="s">
        <v>34</v>
      </c>
      <c r="E6" s="20"/>
      <c r="F6" s="21" t="s">
        <v>740</v>
      </c>
      <c r="G6" s="19" t="s">
        <v>36</v>
      </c>
      <c r="H6" s="18" t="s">
        <v>37</v>
      </c>
      <c r="I6" s="20" t="s">
        <v>846</v>
      </c>
      <c r="J6" s="20"/>
    </row>
    <row r="7" spans="1:10" ht="15" customHeight="1" x14ac:dyDescent="0.35">
      <c r="A7" s="18">
        <v>2</v>
      </c>
      <c r="B7" s="18" t="s">
        <v>5</v>
      </c>
      <c r="C7" s="19" t="s">
        <v>739</v>
      </c>
      <c r="D7" s="19" t="s">
        <v>34</v>
      </c>
      <c r="E7" s="20"/>
      <c r="F7" s="21" t="s">
        <v>39</v>
      </c>
      <c r="G7" s="19" t="s">
        <v>40</v>
      </c>
      <c r="H7" s="18" t="s">
        <v>37</v>
      </c>
      <c r="I7" s="20" t="s">
        <v>847</v>
      </c>
      <c r="J7" s="20"/>
    </row>
    <row r="8" spans="1:10" ht="15" customHeight="1" x14ac:dyDescent="0.35">
      <c r="A8" s="18">
        <v>3</v>
      </c>
      <c r="B8" s="18" t="s">
        <v>5</v>
      </c>
      <c r="C8" s="19" t="s">
        <v>739</v>
      </c>
      <c r="D8" s="19" t="s">
        <v>34</v>
      </c>
      <c r="E8" s="20"/>
      <c r="F8" s="21" t="s">
        <v>741</v>
      </c>
      <c r="G8" s="19" t="s">
        <v>40</v>
      </c>
      <c r="H8" s="18" t="s">
        <v>57</v>
      </c>
      <c r="I8" s="20" t="s">
        <v>848</v>
      </c>
      <c r="J8" s="20"/>
    </row>
    <row r="9" spans="1:10" ht="15" customHeight="1" x14ac:dyDescent="0.35">
      <c r="A9" s="18">
        <v>4</v>
      </c>
      <c r="B9" s="18" t="s">
        <v>5</v>
      </c>
      <c r="C9" s="19" t="s">
        <v>739</v>
      </c>
      <c r="D9" s="19" t="s">
        <v>34</v>
      </c>
      <c r="E9" s="20"/>
      <c r="F9" s="21" t="s">
        <v>42</v>
      </c>
      <c r="G9" s="19" t="s">
        <v>40</v>
      </c>
      <c r="H9" s="18" t="s">
        <v>37</v>
      </c>
      <c r="I9" s="20" t="s">
        <v>849</v>
      </c>
      <c r="J9" s="20"/>
    </row>
    <row r="10" spans="1:10" ht="15" customHeight="1" x14ac:dyDescent="0.35">
      <c r="A10" s="18">
        <v>5</v>
      </c>
      <c r="B10" s="22" t="s">
        <v>3</v>
      </c>
      <c r="C10" s="19" t="s">
        <v>739</v>
      </c>
      <c r="D10" s="19" t="s">
        <v>48</v>
      </c>
      <c r="E10" s="20"/>
      <c r="F10" s="21" t="s">
        <v>45</v>
      </c>
      <c r="G10" s="19" t="s">
        <v>309</v>
      </c>
      <c r="H10" s="18" t="s">
        <v>57</v>
      </c>
      <c r="I10" s="20" t="s">
        <v>850</v>
      </c>
      <c r="J10" s="20"/>
    </row>
    <row r="11" spans="1:10" ht="15" customHeight="1" x14ac:dyDescent="0.35">
      <c r="A11" s="18">
        <v>6</v>
      </c>
      <c r="B11" s="18" t="s">
        <v>7</v>
      </c>
      <c r="C11" s="19" t="s">
        <v>739</v>
      </c>
      <c r="D11" s="19" t="s">
        <v>48</v>
      </c>
      <c r="E11" s="20"/>
      <c r="F11" s="21" t="s">
        <v>59</v>
      </c>
      <c r="G11" s="19" t="s">
        <v>56</v>
      </c>
      <c r="H11" s="18" t="s">
        <v>57</v>
      </c>
      <c r="I11" s="20" t="s">
        <v>60</v>
      </c>
      <c r="J11" s="20"/>
    </row>
    <row r="12" spans="1:10" ht="15" customHeight="1" x14ac:dyDescent="0.35">
      <c r="A12" s="4" t="s">
        <v>744</v>
      </c>
      <c r="B12" s="4"/>
      <c r="C12" s="4"/>
      <c r="D12" s="4"/>
      <c r="E12" s="4"/>
      <c r="F12" s="4"/>
      <c r="G12" s="4"/>
      <c r="H12" s="4"/>
      <c r="I12" s="4"/>
      <c r="J12" s="4"/>
    </row>
    <row r="13" spans="1:10" ht="15" customHeight="1" x14ac:dyDescent="0.35">
      <c r="A13" s="18">
        <v>7</v>
      </c>
      <c r="B13" s="18" t="s">
        <v>5</v>
      </c>
      <c r="C13" s="19" t="s">
        <v>744</v>
      </c>
      <c r="D13" s="19" t="s">
        <v>34</v>
      </c>
      <c r="E13" s="20"/>
      <c r="F13" s="21" t="s">
        <v>745</v>
      </c>
      <c r="G13" s="19" t="s">
        <v>36</v>
      </c>
      <c r="H13" s="18" t="s">
        <v>37</v>
      </c>
      <c r="I13" s="20" t="s">
        <v>846</v>
      </c>
      <c r="J13" s="20"/>
    </row>
    <row r="14" spans="1:10" ht="15" customHeight="1" x14ac:dyDescent="0.35">
      <c r="A14" s="18">
        <v>8</v>
      </c>
      <c r="B14" s="18" t="s">
        <v>5</v>
      </c>
      <c r="C14" s="19" t="s">
        <v>744</v>
      </c>
      <c r="D14" s="19" t="s">
        <v>34</v>
      </c>
      <c r="E14" s="20"/>
      <c r="F14" s="21" t="s">
        <v>39</v>
      </c>
      <c r="G14" s="19" t="s">
        <v>40</v>
      </c>
      <c r="H14" s="18" t="s">
        <v>37</v>
      </c>
      <c r="I14" s="20" t="s">
        <v>847</v>
      </c>
      <c r="J14" s="20"/>
    </row>
    <row r="15" spans="1:10" ht="15" customHeight="1" x14ac:dyDescent="0.35">
      <c r="A15" s="18">
        <v>9</v>
      </c>
      <c r="B15" s="18" t="s">
        <v>5</v>
      </c>
      <c r="C15" s="19" t="s">
        <v>744</v>
      </c>
      <c r="D15" s="19" t="s">
        <v>34</v>
      </c>
      <c r="E15" s="20"/>
      <c r="F15" s="21" t="s">
        <v>746</v>
      </c>
      <c r="G15" s="19" t="s">
        <v>40</v>
      </c>
      <c r="H15" s="18" t="s">
        <v>57</v>
      </c>
      <c r="I15" s="20" t="s">
        <v>848</v>
      </c>
      <c r="J15" s="20"/>
    </row>
    <row r="16" spans="1:10" ht="15" customHeight="1" x14ac:dyDescent="0.35">
      <c r="A16" s="18">
        <v>10</v>
      </c>
      <c r="B16" s="18" t="s">
        <v>5</v>
      </c>
      <c r="C16" s="19" t="s">
        <v>744</v>
      </c>
      <c r="D16" s="19" t="s">
        <v>34</v>
      </c>
      <c r="E16" s="20"/>
      <c r="F16" s="21" t="s">
        <v>42</v>
      </c>
      <c r="G16" s="19" t="s">
        <v>40</v>
      </c>
      <c r="H16" s="18" t="s">
        <v>37</v>
      </c>
      <c r="I16" s="20" t="s">
        <v>849</v>
      </c>
      <c r="J16" s="20"/>
    </row>
    <row r="17" spans="1:10" ht="15" customHeight="1" x14ac:dyDescent="0.35">
      <c r="A17" s="18">
        <v>11</v>
      </c>
      <c r="B17" s="22" t="s">
        <v>3</v>
      </c>
      <c r="C17" s="19" t="s">
        <v>744</v>
      </c>
      <c r="D17" s="19" t="s">
        <v>48</v>
      </c>
      <c r="E17" s="20"/>
      <c r="F17" s="21" t="s">
        <v>45</v>
      </c>
      <c r="G17" s="19" t="s">
        <v>43</v>
      </c>
      <c r="H17" s="18" t="s">
        <v>57</v>
      </c>
      <c r="I17" s="20" t="s">
        <v>850</v>
      </c>
      <c r="J17" s="20"/>
    </row>
    <row r="18" spans="1:10" ht="15" customHeight="1" x14ac:dyDescent="0.35">
      <c r="A18" s="18">
        <v>12</v>
      </c>
      <c r="B18" s="22" t="s">
        <v>3</v>
      </c>
      <c r="C18" s="19" t="s">
        <v>744</v>
      </c>
      <c r="D18" s="19" t="s">
        <v>48</v>
      </c>
      <c r="E18" s="20"/>
      <c r="F18" s="21" t="s">
        <v>749</v>
      </c>
      <c r="G18" s="19" t="s">
        <v>43</v>
      </c>
      <c r="H18" s="18" t="s">
        <v>50</v>
      </c>
      <c r="I18" s="20" t="s">
        <v>851</v>
      </c>
      <c r="J18" s="20"/>
    </row>
    <row r="19" spans="1:10" ht="15" customHeight="1" x14ac:dyDescent="0.35">
      <c r="A19" s="18">
        <v>13</v>
      </c>
      <c r="B19" s="22" t="s">
        <v>3</v>
      </c>
      <c r="C19" s="19" t="s">
        <v>744</v>
      </c>
      <c r="D19" s="19" t="s">
        <v>48</v>
      </c>
      <c r="E19" s="20"/>
      <c r="F19" s="21" t="s">
        <v>750</v>
      </c>
      <c r="G19" s="19" t="s">
        <v>40</v>
      </c>
      <c r="H19" s="18" t="s">
        <v>50</v>
      </c>
      <c r="I19" s="20" t="s">
        <v>852</v>
      </c>
      <c r="J19" s="20"/>
    </row>
    <row r="20" spans="1:10" ht="15" customHeight="1" x14ac:dyDescent="0.35">
      <c r="A20" s="18">
        <v>14</v>
      </c>
      <c r="B20" s="22" t="s">
        <v>3</v>
      </c>
      <c r="C20" s="19" t="s">
        <v>744</v>
      </c>
      <c r="D20" s="19" t="s">
        <v>48</v>
      </c>
      <c r="E20" s="20"/>
      <c r="F20" s="21" t="s">
        <v>751</v>
      </c>
      <c r="G20" s="19" t="s">
        <v>40</v>
      </c>
      <c r="H20" s="18" t="s">
        <v>50</v>
      </c>
      <c r="I20" s="20" t="s">
        <v>853</v>
      </c>
      <c r="J20" s="20"/>
    </row>
    <row r="21" spans="1:10" ht="15" customHeight="1" x14ac:dyDescent="0.35">
      <c r="A21" s="18">
        <v>15</v>
      </c>
      <c r="B21" s="22" t="s">
        <v>3</v>
      </c>
      <c r="C21" s="19" t="s">
        <v>744</v>
      </c>
      <c r="D21" s="19" t="s">
        <v>48</v>
      </c>
      <c r="E21" s="20"/>
      <c r="F21" s="21" t="s">
        <v>753</v>
      </c>
      <c r="G21" s="19" t="s">
        <v>40</v>
      </c>
      <c r="H21" s="18" t="s">
        <v>50</v>
      </c>
      <c r="I21" s="20" t="s">
        <v>51</v>
      </c>
      <c r="J21" s="20"/>
    </row>
    <row r="22" spans="1:10" ht="15" customHeight="1" x14ac:dyDescent="0.35">
      <c r="A22" s="18">
        <v>16</v>
      </c>
      <c r="B22" s="22" t="s">
        <v>3</v>
      </c>
      <c r="C22" s="19" t="s">
        <v>744</v>
      </c>
      <c r="D22" s="19" t="s">
        <v>48</v>
      </c>
      <c r="E22" s="20"/>
      <c r="F22" s="21" t="s">
        <v>754</v>
      </c>
      <c r="G22" s="19" t="s">
        <v>40</v>
      </c>
      <c r="H22" s="18" t="s">
        <v>50</v>
      </c>
      <c r="I22" s="20" t="s">
        <v>854</v>
      </c>
      <c r="J22" s="20"/>
    </row>
    <row r="23" spans="1:10" ht="15" customHeight="1" x14ac:dyDescent="0.35">
      <c r="A23" s="18">
        <v>17</v>
      </c>
      <c r="B23" s="18" t="s">
        <v>7</v>
      </c>
      <c r="C23" s="19" t="s">
        <v>744</v>
      </c>
      <c r="D23" s="19" t="s">
        <v>48</v>
      </c>
      <c r="E23" s="20"/>
      <c r="F23" s="21" t="s">
        <v>59</v>
      </c>
      <c r="G23" s="19" t="s">
        <v>56</v>
      </c>
      <c r="H23" s="18" t="s">
        <v>57</v>
      </c>
      <c r="I23" s="20" t="s">
        <v>60</v>
      </c>
      <c r="J23" s="20"/>
    </row>
    <row r="24" spans="1:10" ht="15" customHeight="1" x14ac:dyDescent="0.35">
      <c r="A24" s="4" t="s">
        <v>755</v>
      </c>
      <c r="B24" s="4"/>
      <c r="C24" s="4"/>
      <c r="D24" s="4"/>
      <c r="E24" s="4"/>
      <c r="F24" s="4"/>
      <c r="G24" s="4"/>
      <c r="H24" s="4"/>
      <c r="I24" s="4"/>
      <c r="J24" s="4"/>
    </row>
    <row r="25" spans="1:10" ht="15" customHeight="1" x14ac:dyDescent="0.35">
      <c r="A25" s="18">
        <v>18</v>
      </c>
      <c r="B25" s="18" t="s">
        <v>5</v>
      </c>
      <c r="C25" s="19" t="s">
        <v>755</v>
      </c>
      <c r="D25" s="19" t="s">
        <v>34</v>
      </c>
      <c r="E25" s="20"/>
      <c r="F25" s="21" t="s">
        <v>756</v>
      </c>
      <c r="G25" s="19" t="s">
        <v>36</v>
      </c>
      <c r="H25" s="18" t="s">
        <v>37</v>
      </c>
      <c r="I25" s="20" t="s">
        <v>846</v>
      </c>
      <c r="J25" s="20"/>
    </row>
    <row r="26" spans="1:10" ht="15" customHeight="1" x14ac:dyDescent="0.35">
      <c r="A26" s="18">
        <v>19</v>
      </c>
      <c r="B26" s="18" t="s">
        <v>5</v>
      </c>
      <c r="C26" s="19" t="s">
        <v>755</v>
      </c>
      <c r="D26" s="19" t="s">
        <v>34</v>
      </c>
      <c r="E26" s="20"/>
      <c r="F26" s="21" t="s">
        <v>39</v>
      </c>
      <c r="G26" s="19" t="s">
        <v>40</v>
      </c>
      <c r="H26" s="18" t="s">
        <v>37</v>
      </c>
      <c r="I26" s="20" t="s">
        <v>847</v>
      </c>
      <c r="J26" s="20"/>
    </row>
    <row r="27" spans="1:10" ht="15" customHeight="1" x14ac:dyDescent="0.35">
      <c r="A27" s="18">
        <v>20</v>
      </c>
      <c r="B27" s="18" t="s">
        <v>5</v>
      </c>
      <c r="C27" s="19" t="s">
        <v>755</v>
      </c>
      <c r="D27" s="19" t="s">
        <v>34</v>
      </c>
      <c r="E27" s="20"/>
      <c r="F27" s="21" t="s">
        <v>741</v>
      </c>
      <c r="G27" s="19" t="s">
        <v>40</v>
      </c>
      <c r="H27" s="18" t="s">
        <v>57</v>
      </c>
      <c r="I27" s="20" t="s">
        <v>848</v>
      </c>
      <c r="J27" s="20"/>
    </row>
    <row r="28" spans="1:10" ht="15" customHeight="1" x14ac:dyDescent="0.35">
      <c r="A28" s="18">
        <v>21</v>
      </c>
      <c r="B28" s="18" t="s">
        <v>5</v>
      </c>
      <c r="C28" s="19" t="s">
        <v>755</v>
      </c>
      <c r="D28" s="19" t="s">
        <v>34</v>
      </c>
      <c r="E28" s="20"/>
      <c r="F28" s="21" t="s">
        <v>42</v>
      </c>
      <c r="G28" s="19" t="s">
        <v>40</v>
      </c>
      <c r="H28" s="18" t="s">
        <v>37</v>
      </c>
      <c r="I28" s="20" t="s">
        <v>849</v>
      </c>
      <c r="J28" s="20"/>
    </row>
    <row r="29" spans="1:10" ht="15" customHeight="1" x14ac:dyDescent="0.35">
      <c r="A29" s="18">
        <v>22</v>
      </c>
      <c r="B29" s="22" t="s">
        <v>3</v>
      </c>
      <c r="C29" s="19" t="s">
        <v>755</v>
      </c>
      <c r="D29" s="19" t="s">
        <v>48</v>
      </c>
      <c r="E29" s="20"/>
      <c r="F29" s="21" t="s">
        <v>45</v>
      </c>
      <c r="G29" s="19" t="s">
        <v>43</v>
      </c>
      <c r="H29" s="18" t="s">
        <v>57</v>
      </c>
      <c r="I29" s="20" t="s">
        <v>850</v>
      </c>
      <c r="J29" s="20"/>
    </row>
    <row r="30" spans="1:10" ht="15" customHeight="1" x14ac:dyDescent="0.35">
      <c r="A30" s="18">
        <v>23</v>
      </c>
      <c r="B30" s="18" t="s">
        <v>7</v>
      </c>
      <c r="C30" s="19" t="s">
        <v>755</v>
      </c>
      <c r="D30" s="19" t="s">
        <v>48</v>
      </c>
      <c r="E30" s="20"/>
      <c r="F30" s="21" t="s">
        <v>59</v>
      </c>
      <c r="G30" s="19" t="s">
        <v>56</v>
      </c>
      <c r="H30" s="18" t="s">
        <v>57</v>
      </c>
      <c r="I30" s="20" t="s">
        <v>60</v>
      </c>
      <c r="J30" s="20"/>
    </row>
    <row r="31" spans="1:10" ht="15" customHeight="1" x14ac:dyDescent="0.35">
      <c r="A31" s="4" t="s">
        <v>758</v>
      </c>
      <c r="B31" s="4"/>
      <c r="C31" s="4"/>
      <c r="D31" s="4"/>
      <c r="E31" s="4"/>
      <c r="F31" s="4"/>
      <c r="G31" s="4"/>
      <c r="H31" s="4"/>
      <c r="I31" s="4"/>
      <c r="J31" s="4"/>
    </row>
    <row r="32" spans="1:10" ht="15" customHeight="1" x14ac:dyDescent="0.35">
      <c r="A32" s="18">
        <v>24</v>
      </c>
      <c r="B32" s="18" t="s">
        <v>5</v>
      </c>
      <c r="C32" s="19" t="s">
        <v>758</v>
      </c>
      <c r="D32" s="19" t="s">
        <v>34</v>
      </c>
      <c r="E32" s="20"/>
      <c r="F32" s="21" t="s">
        <v>759</v>
      </c>
      <c r="G32" s="19" t="s">
        <v>36</v>
      </c>
      <c r="H32" s="18" t="s">
        <v>37</v>
      </c>
      <c r="I32" s="20" t="s">
        <v>846</v>
      </c>
      <c r="J32" s="20"/>
    </row>
    <row r="33" spans="1:10" ht="15" customHeight="1" x14ac:dyDescent="0.35">
      <c r="A33" s="18">
        <v>25</v>
      </c>
      <c r="B33" s="18" t="s">
        <v>5</v>
      </c>
      <c r="C33" s="19" t="s">
        <v>758</v>
      </c>
      <c r="D33" s="19" t="s">
        <v>34</v>
      </c>
      <c r="E33" s="20"/>
      <c r="F33" s="21" t="s">
        <v>39</v>
      </c>
      <c r="G33" s="19" t="s">
        <v>40</v>
      </c>
      <c r="H33" s="18" t="s">
        <v>37</v>
      </c>
      <c r="I33" s="20" t="s">
        <v>847</v>
      </c>
      <c r="J33" s="20"/>
    </row>
    <row r="34" spans="1:10" ht="15" customHeight="1" x14ac:dyDescent="0.35">
      <c r="A34" s="18">
        <v>26</v>
      </c>
      <c r="B34" s="18" t="s">
        <v>5</v>
      </c>
      <c r="C34" s="19" t="s">
        <v>758</v>
      </c>
      <c r="D34" s="19" t="s">
        <v>34</v>
      </c>
      <c r="E34" s="20"/>
      <c r="F34" s="21" t="s">
        <v>741</v>
      </c>
      <c r="G34" s="19" t="s">
        <v>40</v>
      </c>
      <c r="H34" s="18" t="s">
        <v>57</v>
      </c>
      <c r="I34" s="20" t="s">
        <v>848</v>
      </c>
      <c r="J34" s="20"/>
    </row>
    <row r="35" spans="1:10" ht="15" customHeight="1" x14ac:dyDescent="0.35">
      <c r="A35" s="18">
        <v>27</v>
      </c>
      <c r="B35" s="18" t="s">
        <v>5</v>
      </c>
      <c r="C35" s="19" t="s">
        <v>758</v>
      </c>
      <c r="D35" s="19" t="s">
        <v>34</v>
      </c>
      <c r="E35" s="20"/>
      <c r="F35" s="21" t="s">
        <v>42</v>
      </c>
      <c r="G35" s="19" t="s">
        <v>40</v>
      </c>
      <c r="H35" s="18" t="s">
        <v>37</v>
      </c>
      <c r="I35" s="20" t="s">
        <v>849</v>
      </c>
      <c r="J35" s="20"/>
    </row>
    <row r="36" spans="1:10" ht="15" customHeight="1" x14ac:dyDescent="0.35">
      <c r="A36" s="18">
        <v>28</v>
      </c>
      <c r="B36" s="22" t="s">
        <v>3</v>
      </c>
      <c r="C36" s="19" t="s">
        <v>758</v>
      </c>
      <c r="D36" s="19" t="s">
        <v>48</v>
      </c>
      <c r="E36" s="20"/>
      <c r="F36" s="21" t="s">
        <v>45</v>
      </c>
      <c r="G36" s="19" t="s">
        <v>43</v>
      </c>
      <c r="H36" s="18" t="s">
        <v>57</v>
      </c>
      <c r="I36" s="20" t="s">
        <v>850</v>
      </c>
      <c r="J36" s="20"/>
    </row>
    <row r="37" spans="1:10" ht="15" customHeight="1" x14ac:dyDescent="0.35">
      <c r="A37" s="18">
        <v>29</v>
      </c>
      <c r="B37" s="18" t="s">
        <v>7</v>
      </c>
      <c r="C37" s="19" t="s">
        <v>758</v>
      </c>
      <c r="D37" s="19" t="s">
        <v>48</v>
      </c>
      <c r="E37" s="20"/>
      <c r="F37" s="21" t="s">
        <v>59</v>
      </c>
      <c r="G37" s="19" t="s">
        <v>56</v>
      </c>
      <c r="H37" s="18" t="s">
        <v>57</v>
      </c>
      <c r="I37" s="20" t="s">
        <v>60</v>
      </c>
      <c r="J37" s="20"/>
    </row>
    <row r="38" spans="1:10" ht="15" customHeight="1" x14ac:dyDescent="0.35">
      <c r="A38" s="4" t="s">
        <v>760</v>
      </c>
      <c r="B38" s="4"/>
      <c r="C38" s="4"/>
      <c r="D38" s="4"/>
      <c r="E38" s="4"/>
      <c r="F38" s="4"/>
      <c r="G38" s="4"/>
      <c r="H38" s="4"/>
      <c r="I38" s="4"/>
      <c r="J38" s="4"/>
    </row>
    <row r="39" spans="1:10" ht="15" customHeight="1" x14ac:dyDescent="0.35">
      <c r="A39" s="18">
        <v>30</v>
      </c>
      <c r="B39" s="18" t="s">
        <v>5</v>
      </c>
      <c r="C39" s="19" t="s">
        <v>760</v>
      </c>
      <c r="D39" s="19" t="s">
        <v>34</v>
      </c>
      <c r="E39" s="20"/>
      <c r="F39" s="21" t="s">
        <v>761</v>
      </c>
      <c r="G39" s="19" t="s">
        <v>36</v>
      </c>
      <c r="H39" s="18" t="s">
        <v>37</v>
      </c>
      <c r="I39" s="20" t="s">
        <v>846</v>
      </c>
      <c r="J39" s="20"/>
    </row>
    <row r="40" spans="1:10" ht="15" customHeight="1" x14ac:dyDescent="0.35">
      <c r="A40" s="18">
        <v>31</v>
      </c>
      <c r="B40" s="18" t="s">
        <v>5</v>
      </c>
      <c r="C40" s="19" t="s">
        <v>760</v>
      </c>
      <c r="D40" s="19" t="s">
        <v>34</v>
      </c>
      <c r="E40" s="20"/>
      <c r="F40" s="21" t="s">
        <v>39</v>
      </c>
      <c r="G40" s="19" t="s">
        <v>40</v>
      </c>
      <c r="H40" s="18" t="s">
        <v>37</v>
      </c>
      <c r="I40" s="20" t="s">
        <v>847</v>
      </c>
      <c r="J40" s="20"/>
    </row>
    <row r="41" spans="1:10" ht="15" customHeight="1" x14ac:dyDescent="0.35">
      <c r="A41" s="18">
        <v>32</v>
      </c>
      <c r="B41" s="18" t="s">
        <v>5</v>
      </c>
      <c r="C41" s="19" t="s">
        <v>760</v>
      </c>
      <c r="D41" s="19" t="s">
        <v>34</v>
      </c>
      <c r="E41" s="20"/>
      <c r="F41" s="21" t="s">
        <v>741</v>
      </c>
      <c r="G41" s="19" t="s">
        <v>40</v>
      </c>
      <c r="H41" s="18" t="s">
        <v>57</v>
      </c>
      <c r="I41" s="20" t="s">
        <v>848</v>
      </c>
      <c r="J41" s="20"/>
    </row>
    <row r="42" spans="1:10" ht="15" customHeight="1" x14ac:dyDescent="0.35">
      <c r="A42" s="18">
        <v>33</v>
      </c>
      <c r="B42" s="18" t="s">
        <v>5</v>
      </c>
      <c r="C42" s="19" t="s">
        <v>760</v>
      </c>
      <c r="D42" s="19" t="s">
        <v>34</v>
      </c>
      <c r="E42" s="20"/>
      <c r="F42" s="21" t="s">
        <v>42</v>
      </c>
      <c r="G42" s="19" t="s">
        <v>40</v>
      </c>
      <c r="H42" s="18" t="s">
        <v>37</v>
      </c>
      <c r="I42" s="20" t="s">
        <v>849</v>
      </c>
      <c r="J42" s="20"/>
    </row>
    <row r="43" spans="1:10" ht="15" customHeight="1" x14ac:dyDescent="0.35">
      <c r="A43" s="18">
        <v>34</v>
      </c>
      <c r="B43" s="22" t="s">
        <v>3</v>
      </c>
      <c r="C43" s="19" t="s">
        <v>760</v>
      </c>
      <c r="D43" s="19" t="s">
        <v>48</v>
      </c>
      <c r="E43" s="20"/>
      <c r="F43" s="21" t="s">
        <v>45</v>
      </c>
      <c r="G43" s="19" t="s">
        <v>43</v>
      </c>
      <c r="H43" s="18" t="s">
        <v>57</v>
      </c>
      <c r="I43" s="20" t="s">
        <v>850</v>
      </c>
      <c r="J43" s="20"/>
    </row>
    <row r="44" spans="1:10" ht="15" customHeight="1" x14ac:dyDescent="0.35">
      <c r="A44" s="18">
        <v>35</v>
      </c>
      <c r="B44" s="18" t="s">
        <v>7</v>
      </c>
      <c r="C44" s="19" t="s">
        <v>760</v>
      </c>
      <c r="D44" s="19" t="s">
        <v>48</v>
      </c>
      <c r="E44" s="20"/>
      <c r="F44" s="21" t="s">
        <v>59</v>
      </c>
      <c r="G44" s="19" t="s">
        <v>56</v>
      </c>
      <c r="H44" s="18" t="s">
        <v>57</v>
      </c>
      <c r="I44" s="20" t="s">
        <v>60</v>
      </c>
      <c r="J44" s="20"/>
    </row>
    <row r="45" spans="1:10" ht="15" customHeight="1" x14ac:dyDescent="0.35">
      <c r="A45" s="4" t="s">
        <v>762</v>
      </c>
      <c r="B45" s="4"/>
      <c r="C45" s="4"/>
      <c r="D45" s="4"/>
      <c r="E45" s="4"/>
      <c r="F45" s="4"/>
      <c r="G45" s="4"/>
      <c r="H45" s="4"/>
      <c r="I45" s="4"/>
      <c r="J45" s="4"/>
    </row>
    <row r="46" spans="1:10" ht="15" customHeight="1" x14ac:dyDescent="0.35">
      <c r="A46" s="18">
        <v>36</v>
      </c>
      <c r="B46" s="18" t="s">
        <v>5</v>
      </c>
      <c r="C46" s="19" t="s">
        <v>762</v>
      </c>
      <c r="D46" s="19" t="s">
        <v>34</v>
      </c>
      <c r="E46" s="20"/>
      <c r="F46" s="21" t="s">
        <v>763</v>
      </c>
      <c r="G46" s="19" t="s">
        <v>36</v>
      </c>
      <c r="H46" s="18" t="s">
        <v>37</v>
      </c>
      <c r="I46" s="20" t="s">
        <v>846</v>
      </c>
      <c r="J46" s="20"/>
    </row>
    <row r="47" spans="1:10" ht="15" customHeight="1" x14ac:dyDescent="0.35">
      <c r="A47" s="18">
        <v>37</v>
      </c>
      <c r="B47" s="18" t="s">
        <v>5</v>
      </c>
      <c r="C47" s="19" t="s">
        <v>762</v>
      </c>
      <c r="D47" s="19" t="s">
        <v>34</v>
      </c>
      <c r="E47" s="20"/>
      <c r="F47" s="21" t="s">
        <v>39</v>
      </c>
      <c r="G47" s="19" t="s">
        <v>40</v>
      </c>
      <c r="H47" s="18" t="s">
        <v>37</v>
      </c>
      <c r="I47" s="20" t="s">
        <v>847</v>
      </c>
      <c r="J47" s="20"/>
    </row>
    <row r="48" spans="1:10" ht="15" customHeight="1" x14ac:dyDescent="0.35">
      <c r="A48" s="18">
        <v>38</v>
      </c>
      <c r="B48" s="18" t="s">
        <v>5</v>
      </c>
      <c r="C48" s="19" t="s">
        <v>762</v>
      </c>
      <c r="D48" s="19" t="s">
        <v>34</v>
      </c>
      <c r="E48" s="20"/>
      <c r="F48" s="21" t="s">
        <v>741</v>
      </c>
      <c r="G48" s="19" t="s">
        <v>40</v>
      </c>
      <c r="H48" s="18" t="s">
        <v>57</v>
      </c>
      <c r="I48" s="20" t="s">
        <v>848</v>
      </c>
      <c r="J48" s="20"/>
    </row>
    <row r="49" spans="1:10" ht="15" customHeight="1" x14ac:dyDescent="0.35">
      <c r="A49" s="18">
        <v>39</v>
      </c>
      <c r="B49" s="18" t="s">
        <v>5</v>
      </c>
      <c r="C49" s="19" t="s">
        <v>762</v>
      </c>
      <c r="D49" s="19" t="s">
        <v>34</v>
      </c>
      <c r="E49" s="20"/>
      <c r="F49" s="21" t="s">
        <v>42</v>
      </c>
      <c r="G49" s="19" t="s">
        <v>40</v>
      </c>
      <c r="H49" s="18" t="s">
        <v>37</v>
      </c>
      <c r="I49" s="20" t="s">
        <v>849</v>
      </c>
      <c r="J49" s="20"/>
    </row>
    <row r="50" spans="1:10" ht="15" customHeight="1" x14ac:dyDescent="0.35">
      <c r="A50" s="18">
        <v>40</v>
      </c>
      <c r="B50" s="22" t="s">
        <v>3</v>
      </c>
      <c r="C50" s="19" t="s">
        <v>762</v>
      </c>
      <c r="D50" s="19" t="s">
        <v>48</v>
      </c>
      <c r="E50" s="20"/>
      <c r="F50" s="21" t="s">
        <v>45</v>
      </c>
      <c r="G50" s="19" t="s">
        <v>43</v>
      </c>
      <c r="H50" s="18" t="s">
        <v>57</v>
      </c>
      <c r="I50" s="20" t="s">
        <v>850</v>
      </c>
      <c r="J50" s="20"/>
    </row>
    <row r="51" spans="1:10" ht="15" customHeight="1" x14ac:dyDescent="0.35">
      <c r="A51" s="18">
        <v>41</v>
      </c>
      <c r="B51" s="18" t="s">
        <v>7</v>
      </c>
      <c r="C51" s="19" t="s">
        <v>762</v>
      </c>
      <c r="D51" s="19" t="s">
        <v>48</v>
      </c>
      <c r="E51" s="20"/>
      <c r="F51" s="21" t="s">
        <v>59</v>
      </c>
      <c r="G51" s="19" t="s">
        <v>56</v>
      </c>
      <c r="H51" s="18" t="s">
        <v>57</v>
      </c>
      <c r="I51" s="20" t="s">
        <v>60</v>
      </c>
      <c r="J51" s="20"/>
    </row>
    <row r="52" spans="1:10" ht="15" customHeight="1" x14ac:dyDescent="0.35">
      <c r="A52" s="4" t="s">
        <v>764</v>
      </c>
      <c r="B52" s="4"/>
      <c r="C52" s="4"/>
      <c r="D52" s="4"/>
      <c r="E52" s="4"/>
      <c r="F52" s="4"/>
      <c r="G52" s="4"/>
      <c r="H52" s="4"/>
      <c r="I52" s="4"/>
      <c r="J52" s="4"/>
    </row>
    <row r="53" spans="1:10" ht="15" customHeight="1" x14ac:dyDescent="0.35">
      <c r="A53" s="18">
        <v>42</v>
      </c>
      <c r="B53" s="18" t="s">
        <v>5</v>
      </c>
      <c r="C53" s="19" t="s">
        <v>764</v>
      </c>
      <c r="D53" s="19" t="s">
        <v>34</v>
      </c>
      <c r="E53" s="20"/>
      <c r="F53" s="21" t="s">
        <v>765</v>
      </c>
      <c r="G53" s="19" t="s">
        <v>36</v>
      </c>
      <c r="H53" s="18" t="s">
        <v>37</v>
      </c>
      <c r="I53" s="20" t="s">
        <v>846</v>
      </c>
      <c r="J53" s="20"/>
    </row>
    <row r="54" spans="1:10" ht="15" customHeight="1" x14ac:dyDescent="0.35">
      <c r="A54" s="18">
        <v>43</v>
      </c>
      <c r="B54" s="18" t="s">
        <v>5</v>
      </c>
      <c r="C54" s="19" t="s">
        <v>764</v>
      </c>
      <c r="D54" s="19" t="s">
        <v>34</v>
      </c>
      <c r="E54" s="20"/>
      <c r="F54" s="21" t="s">
        <v>39</v>
      </c>
      <c r="G54" s="19" t="s">
        <v>40</v>
      </c>
      <c r="H54" s="18" t="s">
        <v>37</v>
      </c>
      <c r="I54" s="20" t="s">
        <v>847</v>
      </c>
      <c r="J54" s="20"/>
    </row>
    <row r="55" spans="1:10" ht="57" customHeight="1" x14ac:dyDescent="0.35">
      <c r="A55" s="18">
        <v>44</v>
      </c>
      <c r="B55" s="22" t="s">
        <v>3</v>
      </c>
      <c r="C55" s="19" t="s">
        <v>764</v>
      </c>
      <c r="D55" s="19" t="s">
        <v>34</v>
      </c>
      <c r="E55" s="20" t="s">
        <v>855</v>
      </c>
      <c r="F55" s="21" t="s">
        <v>766</v>
      </c>
      <c r="G55" s="19" t="s">
        <v>767</v>
      </c>
      <c r="H55" s="18" t="s">
        <v>57</v>
      </c>
      <c r="I55" s="20" t="s">
        <v>856</v>
      </c>
      <c r="J55" s="20"/>
    </row>
    <row r="56" spans="1:10" ht="15" customHeight="1" x14ac:dyDescent="0.35">
      <c r="A56" s="18">
        <v>45</v>
      </c>
      <c r="B56" s="22" t="s">
        <v>3</v>
      </c>
      <c r="C56" s="19" t="s">
        <v>764</v>
      </c>
      <c r="D56" s="19" t="s">
        <v>34</v>
      </c>
      <c r="E56" s="20" t="s">
        <v>855</v>
      </c>
      <c r="F56" s="21" t="s">
        <v>769</v>
      </c>
      <c r="G56" s="19" t="s">
        <v>36</v>
      </c>
      <c r="H56" s="18" t="s">
        <v>37</v>
      </c>
      <c r="I56" s="20" t="s">
        <v>857</v>
      </c>
      <c r="J56" s="20"/>
    </row>
    <row r="57" spans="1:10" ht="15" customHeight="1" x14ac:dyDescent="0.35">
      <c r="A57" s="18">
        <v>46</v>
      </c>
      <c r="B57" s="22" t="s">
        <v>3</v>
      </c>
      <c r="C57" s="19" t="s">
        <v>764</v>
      </c>
      <c r="D57" s="19" t="s">
        <v>34</v>
      </c>
      <c r="E57" s="20" t="s">
        <v>855</v>
      </c>
      <c r="F57" s="21" t="s">
        <v>770</v>
      </c>
      <c r="G57" s="19" t="s">
        <v>40</v>
      </c>
      <c r="H57" s="18" t="s">
        <v>37</v>
      </c>
      <c r="I57" s="20" t="s">
        <v>858</v>
      </c>
      <c r="J57" s="20"/>
    </row>
    <row r="58" spans="1:10" ht="23.25" customHeight="1" x14ac:dyDescent="0.35">
      <c r="A58" s="18">
        <v>47</v>
      </c>
      <c r="B58" s="22" t="s">
        <v>3</v>
      </c>
      <c r="C58" s="19" t="s">
        <v>764</v>
      </c>
      <c r="D58" s="19" t="s">
        <v>34</v>
      </c>
      <c r="E58" s="20" t="s">
        <v>855</v>
      </c>
      <c r="F58" s="21" t="s">
        <v>771</v>
      </c>
      <c r="G58" s="19" t="s">
        <v>40</v>
      </c>
      <c r="H58" s="18" t="s">
        <v>37</v>
      </c>
      <c r="I58" s="20" t="s">
        <v>859</v>
      </c>
      <c r="J58" s="20"/>
    </row>
    <row r="59" spans="1:10" ht="15" customHeight="1" x14ac:dyDescent="0.35">
      <c r="A59" s="18">
        <v>48</v>
      </c>
      <c r="B59" s="22" t="s">
        <v>3</v>
      </c>
      <c r="C59" s="19" t="s">
        <v>764</v>
      </c>
      <c r="D59" s="19" t="s">
        <v>34</v>
      </c>
      <c r="E59" s="20" t="s">
        <v>855</v>
      </c>
      <c r="F59" s="21" t="s">
        <v>773</v>
      </c>
      <c r="G59" s="19" t="s">
        <v>40</v>
      </c>
      <c r="H59" s="18" t="s">
        <v>37</v>
      </c>
      <c r="I59" s="20" t="s">
        <v>860</v>
      </c>
      <c r="J59" s="20"/>
    </row>
    <row r="60" spans="1:10" ht="15" customHeight="1" x14ac:dyDescent="0.35">
      <c r="A60" s="18">
        <v>49</v>
      </c>
      <c r="B60" s="22" t="s">
        <v>3</v>
      </c>
      <c r="C60" s="19" t="s">
        <v>764</v>
      </c>
      <c r="D60" s="19" t="s">
        <v>34</v>
      </c>
      <c r="E60" s="20" t="s">
        <v>855</v>
      </c>
      <c r="F60" s="21" t="s">
        <v>774</v>
      </c>
      <c r="G60" s="19" t="s">
        <v>40</v>
      </c>
      <c r="H60" s="18" t="s">
        <v>37</v>
      </c>
      <c r="I60" s="20" t="s">
        <v>861</v>
      </c>
      <c r="J60" s="20"/>
    </row>
    <row r="61" spans="1:10" ht="57" customHeight="1" x14ac:dyDescent="0.35">
      <c r="A61" s="18">
        <v>50</v>
      </c>
      <c r="B61" s="22" t="s">
        <v>3</v>
      </c>
      <c r="C61" s="19" t="s">
        <v>764</v>
      </c>
      <c r="D61" s="19" t="s">
        <v>34</v>
      </c>
      <c r="E61" s="20" t="s">
        <v>862</v>
      </c>
      <c r="F61" s="21" t="s">
        <v>775</v>
      </c>
      <c r="G61" s="19" t="s">
        <v>767</v>
      </c>
      <c r="H61" s="18" t="s">
        <v>57</v>
      </c>
      <c r="I61" s="20" t="s">
        <v>856</v>
      </c>
      <c r="J61" s="20"/>
    </row>
    <row r="62" spans="1:10" ht="15" customHeight="1" x14ac:dyDescent="0.35">
      <c r="A62" s="18">
        <v>51</v>
      </c>
      <c r="B62" s="22" t="s">
        <v>3</v>
      </c>
      <c r="C62" s="19" t="s">
        <v>764</v>
      </c>
      <c r="D62" s="19" t="s">
        <v>34</v>
      </c>
      <c r="E62" s="20" t="s">
        <v>862</v>
      </c>
      <c r="F62" s="21" t="s">
        <v>776</v>
      </c>
      <c r="G62" s="19" t="s">
        <v>36</v>
      </c>
      <c r="H62" s="18" t="s">
        <v>37</v>
      </c>
      <c r="I62" s="20" t="s">
        <v>857</v>
      </c>
      <c r="J62" s="20"/>
    </row>
    <row r="63" spans="1:10" ht="15" customHeight="1" x14ac:dyDescent="0.35">
      <c r="A63" s="18">
        <v>52</v>
      </c>
      <c r="B63" s="22" t="s">
        <v>3</v>
      </c>
      <c r="C63" s="19" t="s">
        <v>764</v>
      </c>
      <c r="D63" s="19" t="s">
        <v>34</v>
      </c>
      <c r="E63" s="20" t="s">
        <v>862</v>
      </c>
      <c r="F63" s="21" t="s">
        <v>777</v>
      </c>
      <c r="G63" s="19" t="s">
        <v>40</v>
      </c>
      <c r="H63" s="18" t="s">
        <v>37</v>
      </c>
      <c r="I63" s="20" t="s">
        <v>858</v>
      </c>
      <c r="J63" s="20"/>
    </row>
    <row r="64" spans="1:10" ht="23.25" customHeight="1" x14ac:dyDescent="0.35">
      <c r="A64" s="18">
        <v>53</v>
      </c>
      <c r="B64" s="22" t="s">
        <v>3</v>
      </c>
      <c r="C64" s="19" t="s">
        <v>764</v>
      </c>
      <c r="D64" s="19" t="s">
        <v>34</v>
      </c>
      <c r="E64" s="20" t="s">
        <v>862</v>
      </c>
      <c r="F64" s="21" t="s">
        <v>778</v>
      </c>
      <c r="G64" s="19" t="s">
        <v>40</v>
      </c>
      <c r="H64" s="18" t="s">
        <v>37</v>
      </c>
      <c r="I64" s="20" t="s">
        <v>859</v>
      </c>
      <c r="J64" s="20"/>
    </row>
    <row r="65" spans="1:10" ht="15" customHeight="1" x14ac:dyDescent="0.35">
      <c r="A65" s="18">
        <v>54</v>
      </c>
      <c r="B65" s="22" t="s">
        <v>3</v>
      </c>
      <c r="C65" s="19" t="s">
        <v>764</v>
      </c>
      <c r="D65" s="19" t="s">
        <v>34</v>
      </c>
      <c r="E65" s="20" t="s">
        <v>862</v>
      </c>
      <c r="F65" s="21" t="s">
        <v>779</v>
      </c>
      <c r="G65" s="19" t="s">
        <v>40</v>
      </c>
      <c r="H65" s="18" t="s">
        <v>37</v>
      </c>
      <c r="I65" s="20" t="s">
        <v>860</v>
      </c>
      <c r="J65" s="20"/>
    </row>
    <row r="66" spans="1:10" ht="15" customHeight="1" x14ac:dyDescent="0.35">
      <c r="A66" s="18">
        <v>55</v>
      </c>
      <c r="B66" s="22" t="s">
        <v>3</v>
      </c>
      <c r="C66" s="19" t="s">
        <v>764</v>
      </c>
      <c r="D66" s="19" t="s">
        <v>34</v>
      </c>
      <c r="E66" s="20" t="s">
        <v>862</v>
      </c>
      <c r="F66" s="21" t="s">
        <v>780</v>
      </c>
      <c r="G66" s="19" t="s">
        <v>40</v>
      </c>
      <c r="H66" s="18" t="s">
        <v>37</v>
      </c>
      <c r="I66" s="20" t="s">
        <v>861</v>
      </c>
      <c r="J66" s="20"/>
    </row>
    <row r="67" spans="1:10" ht="15" customHeight="1" x14ac:dyDescent="0.35">
      <c r="A67" s="18">
        <v>56</v>
      </c>
      <c r="B67" s="18" t="s">
        <v>7</v>
      </c>
      <c r="C67" s="19" t="s">
        <v>764</v>
      </c>
      <c r="D67" s="19" t="s">
        <v>48</v>
      </c>
      <c r="E67" s="20"/>
      <c r="F67" s="21" t="s">
        <v>59</v>
      </c>
      <c r="G67" s="19" t="s">
        <v>56</v>
      </c>
      <c r="H67" s="18" t="s">
        <v>57</v>
      </c>
      <c r="I67" s="20" t="s">
        <v>60</v>
      </c>
      <c r="J67" s="20"/>
    </row>
    <row r="68" spans="1:10" ht="15" customHeight="1" x14ac:dyDescent="0.35">
      <c r="A68" s="4" t="s">
        <v>781</v>
      </c>
      <c r="B68" s="4"/>
      <c r="C68" s="4"/>
      <c r="D68" s="4"/>
      <c r="E68" s="4"/>
      <c r="F68" s="4"/>
      <c r="G68" s="4"/>
      <c r="H68" s="4"/>
      <c r="I68" s="4"/>
      <c r="J68" s="4"/>
    </row>
    <row r="69" spans="1:10" ht="15" customHeight="1" x14ac:dyDescent="0.35">
      <c r="A69" s="18">
        <v>57</v>
      </c>
      <c r="B69" s="18" t="s">
        <v>5</v>
      </c>
      <c r="C69" s="19" t="s">
        <v>781</v>
      </c>
      <c r="D69" s="19" t="s">
        <v>34</v>
      </c>
      <c r="E69" s="20"/>
      <c r="F69" s="21" t="s">
        <v>765</v>
      </c>
      <c r="G69" s="19" t="s">
        <v>36</v>
      </c>
      <c r="H69" s="18" t="s">
        <v>37</v>
      </c>
      <c r="I69" s="20" t="s">
        <v>846</v>
      </c>
      <c r="J69" s="20"/>
    </row>
    <row r="70" spans="1:10" ht="15" customHeight="1" x14ac:dyDescent="0.35">
      <c r="A70" s="18">
        <v>58</v>
      </c>
      <c r="B70" s="18" t="s">
        <v>5</v>
      </c>
      <c r="C70" s="19" t="s">
        <v>781</v>
      </c>
      <c r="D70" s="19" t="s">
        <v>34</v>
      </c>
      <c r="E70" s="20"/>
      <c r="F70" s="21" t="s">
        <v>39</v>
      </c>
      <c r="G70" s="19" t="s">
        <v>40</v>
      </c>
      <c r="H70" s="18" t="s">
        <v>37</v>
      </c>
      <c r="I70" s="20" t="s">
        <v>847</v>
      </c>
      <c r="J70" s="20"/>
    </row>
    <row r="71" spans="1:10" ht="15" customHeight="1" x14ac:dyDescent="0.35">
      <c r="A71" s="18">
        <v>59</v>
      </c>
      <c r="B71" s="22" t="s">
        <v>3</v>
      </c>
      <c r="C71" s="19" t="s">
        <v>781</v>
      </c>
      <c r="D71" s="19" t="s">
        <v>48</v>
      </c>
      <c r="E71" s="20"/>
      <c r="F71" s="21" t="s">
        <v>782</v>
      </c>
      <c r="G71" s="19" t="s">
        <v>56</v>
      </c>
      <c r="H71" s="18" t="s">
        <v>57</v>
      </c>
      <c r="I71" s="20" t="s">
        <v>863</v>
      </c>
      <c r="J71" s="20"/>
    </row>
    <row r="72" spans="1:10" ht="15" customHeight="1" x14ac:dyDescent="0.35">
      <c r="A72" s="18">
        <v>60</v>
      </c>
      <c r="B72" s="22" t="s">
        <v>3</v>
      </c>
      <c r="C72" s="19" t="s">
        <v>781</v>
      </c>
      <c r="D72" s="19" t="s">
        <v>48</v>
      </c>
      <c r="E72" s="20"/>
      <c r="F72" s="21" t="s">
        <v>784</v>
      </c>
      <c r="G72" s="19" t="s">
        <v>56</v>
      </c>
      <c r="H72" s="18" t="s">
        <v>57</v>
      </c>
      <c r="I72" s="20" t="s">
        <v>863</v>
      </c>
      <c r="J72" s="20"/>
    </row>
    <row r="73" spans="1:10" ht="15" customHeight="1" x14ac:dyDescent="0.35">
      <c r="A73" s="18">
        <v>61</v>
      </c>
      <c r="B73" s="22" t="s">
        <v>3</v>
      </c>
      <c r="C73" s="19" t="s">
        <v>781</v>
      </c>
      <c r="D73" s="19" t="s">
        <v>48</v>
      </c>
      <c r="E73" s="20"/>
      <c r="F73" s="21" t="s">
        <v>785</v>
      </c>
      <c r="G73" s="19" t="s">
        <v>56</v>
      </c>
      <c r="H73" s="18" t="s">
        <v>57</v>
      </c>
      <c r="I73" s="20" t="s">
        <v>863</v>
      </c>
      <c r="J73" s="20"/>
    </row>
    <row r="74" spans="1:10" ht="15" customHeight="1" x14ac:dyDescent="0.35">
      <c r="A74" s="18">
        <v>62</v>
      </c>
      <c r="B74" s="22" t="s">
        <v>3</v>
      </c>
      <c r="C74" s="19" t="s">
        <v>781</v>
      </c>
      <c r="D74" s="19" t="s">
        <v>48</v>
      </c>
      <c r="E74" s="20"/>
      <c r="F74" s="21" t="s">
        <v>786</v>
      </c>
      <c r="G74" s="19" t="s">
        <v>56</v>
      </c>
      <c r="H74" s="18" t="s">
        <v>57</v>
      </c>
      <c r="I74" s="20" t="s">
        <v>863</v>
      </c>
      <c r="J74" s="20"/>
    </row>
    <row r="75" spans="1:10" ht="15" customHeight="1" x14ac:dyDescent="0.35">
      <c r="A75" s="18">
        <v>63</v>
      </c>
      <c r="B75" s="22" t="s">
        <v>3</v>
      </c>
      <c r="C75" s="19" t="s">
        <v>781</v>
      </c>
      <c r="D75" s="19" t="s">
        <v>48</v>
      </c>
      <c r="E75" s="20"/>
      <c r="F75" s="21" t="s">
        <v>787</v>
      </c>
      <c r="G75" s="19" t="s">
        <v>56</v>
      </c>
      <c r="H75" s="18" t="s">
        <v>57</v>
      </c>
      <c r="I75" s="20" t="s">
        <v>863</v>
      </c>
      <c r="J75" s="20"/>
    </row>
    <row r="76" spans="1:10" ht="15" customHeight="1" x14ac:dyDescent="0.35">
      <c r="A76" s="18">
        <v>64</v>
      </c>
      <c r="B76" s="22" t="s">
        <v>3</v>
      </c>
      <c r="C76" s="19" t="s">
        <v>781</v>
      </c>
      <c r="D76" s="19" t="s">
        <v>48</v>
      </c>
      <c r="E76" s="20"/>
      <c r="F76" s="21" t="s">
        <v>283</v>
      </c>
      <c r="G76" s="19" t="s">
        <v>56</v>
      </c>
      <c r="H76" s="18" t="s">
        <v>57</v>
      </c>
      <c r="I76" s="20" t="s">
        <v>864</v>
      </c>
      <c r="J76" s="20"/>
    </row>
    <row r="77" spans="1:10" ht="23.25" customHeight="1" x14ac:dyDescent="0.35">
      <c r="A77" s="18">
        <v>65</v>
      </c>
      <c r="B77" s="22" t="s">
        <v>3</v>
      </c>
      <c r="C77" s="19" t="s">
        <v>781</v>
      </c>
      <c r="D77" s="19" t="s">
        <v>48</v>
      </c>
      <c r="E77" s="20"/>
      <c r="F77" s="21" t="s">
        <v>270</v>
      </c>
      <c r="G77" s="19" t="s">
        <v>271</v>
      </c>
      <c r="H77" s="18" t="s">
        <v>50</v>
      </c>
      <c r="I77" s="20" t="s">
        <v>865</v>
      </c>
      <c r="J77" s="20"/>
    </row>
  </sheetData>
  <autoFilter ref="A4:J77" xr:uid="{00000000-0009-0000-0000-000008000000}"/>
  <mergeCells count="8">
    <mergeCell ref="A45:J45"/>
    <mergeCell ref="A52:J52"/>
    <mergeCell ref="A68:J68"/>
    <mergeCell ref="A5:J5"/>
    <mergeCell ref="A12:J12"/>
    <mergeCell ref="A24:J24"/>
    <mergeCell ref="A31:J31"/>
    <mergeCell ref="A38:J38"/>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41"/>
  <sheetViews>
    <sheetView zoomScaleNormal="100" workbookViewId="0">
      <pane ySplit="4" topLeftCell="A5" activePane="bottomLeft" state="frozen"/>
      <selection pane="bottomLeft"/>
    </sheetView>
  </sheetViews>
  <sheetFormatPr baseColWidth="10" defaultColWidth="8.6328125" defaultRowHeight="14.5" x14ac:dyDescent="0.35"/>
  <cols>
    <col min="1" max="1" width="5" customWidth="1"/>
    <col min="2" max="2" width="11" customWidth="1"/>
    <col min="3" max="3" width="30" customWidth="1"/>
    <col min="4" max="4" width="16" customWidth="1"/>
    <col min="5" max="5" width="34" customWidth="1"/>
    <col min="6" max="6" width="27" customWidth="1"/>
    <col min="7" max="7" width="26" customWidth="1"/>
    <col min="8" max="8" width="6" customWidth="1"/>
    <col min="9" max="9" width="70" customWidth="1"/>
    <col min="10" max="10" width="46" customWidth="1"/>
  </cols>
  <sheetData>
    <row r="1" spans="1:10" ht="15.75" customHeight="1" x14ac:dyDescent="0.35">
      <c r="A1" s="16" t="s">
        <v>866</v>
      </c>
    </row>
    <row r="2" spans="1:10" ht="15" customHeight="1" x14ac:dyDescent="0.35">
      <c r="A2" s="15" t="s">
        <v>867</v>
      </c>
    </row>
    <row r="4" spans="1:10" ht="15" customHeight="1" x14ac:dyDescent="0.35">
      <c r="A4" s="17" t="s">
        <v>23</v>
      </c>
      <c r="B4" s="17" t="s">
        <v>24</v>
      </c>
      <c r="C4" s="17" t="s">
        <v>25</v>
      </c>
      <c r="D4" s="17" t="s">
        <v>26</v>
      </c>
      <c r="E4" s="17" t="s">
        <v>27</v>
      </c>
      <c r="F4" s="17" t="s">
        <v>28</v>
      </c>
      <c r="G4" s="17" t="s">
        <v>29</v>
      </c>
      <c r="H4" s="17" t="s">
        <v>30</v>
      </c>
      <c r="I4" s="17" t="s">
        <v>31</v>
      </c>
      <c r="J4" s="17" t="s">
        <v>32</v>
      </c>
    </row>
    <row r="5" spans="1:10" ht="15" customHeight="1" x14ac:dyDescent="0.35">
      <c r="A5" s="4" t="s">
        <v>33</v>
      </c>
      <c r="B5" s="4"/>
      <c r="C5" s="4"/>
      <c r="D5" s="4"/>
      <c r="E5" s="4"/>
      <c r="F5" s="4"/>
      <c r="G5" s="4"/>
      <c r="H5" s="4"/>
      <c r="I5" s="4"/>
      <c r="J5" s="4"/>
    </row>
    <row r="6" spans="1:10" ht="23.25" customHeight="1" x14ac:dyDescent="0.35">
      <c r="A6" s="18">
        <v>1</v>
      </c>
      <c r="B6" s="60" t="s">
        <v>9</v>
      </c>
      <c r="C6" s="19" t="s">
        <v>33</v>
      </c>
      <c r="D6" s="19" t="s">
        <v>48</v>
      </c>
      <c r="E6" s="20"/>
      <c r="F6" s="21" t="s">
        <v>868</v>
      </c>
      <c r="G6" s="19" t="s">
        <v>56</v>
      </c>
      <c r="H6" s="18" t="s">
        <v>57</v>
      </c>
      <c r="I6" s="20" t="s">
        <v>869</v>
      </c>
      <c r="J6" s="20"/>
    </row>
    <row r="7" spans="1:10" ht="23.25" customHeight="1" x14ac:dyDescent="0.35">
      <c r="A7" s="18">
        <v>2</v>
      </c>
      <c r="B7" s="60" t="s">
        <v>9</v>
      </c>
      <c r="C7" s="19" t="s">
        <v>33</v>
      </c>
      <c r="D7" s="19" t="s">
        <v>48</v>
      </c>
      <c r="E7" s="20"/>
      <c r="F7" s="21" t="s">
        <v>870</v>
      </c>
      <c r="G7" s="19" t="s">
        <v>871</v>
      </c>
      <c r="H7" s="18" t="s">
        <v>37</v>
      </c>
      <c r="I7" s="20" t="s">
        <v>872</v>
      </c>
      <c r="J7" s="20"/>
    </row>
    <row r="8" spans="1:10" ht="23.25" customHeight="1" x14ac:dyDescent="0.35">
      <c r="A8" s="18">
        <v>3</v>
      </c>
      <c r="B8" s="60" t="s">
        <v>9</v>
      </c>
      <c r="C8" s="19" t="s">
        <v>33</v>
      </c>
      <c r="D8" s="19" t="s">
        <v>48</v>
      </c>
      <c r="E8" s="20" t="s">
        <v>873</v>
      </c>
      <c r="F8" s="21" t="s">
        <v>874</v>
      </c>
      <c r="G8" s="19" t="s">
        <v>36</v>
      </c>
      <c r="H8" s="18" t="s">
        <v>37</v>
      </c>
      <c r="I8" s="20" t="s">
        <v>875</v>
      </c>
      <c r="J8" s="23" t="s">
        <v>876</v>
      </c>
    </row>
    <row r="9" spans="1:10" ht="23.25" customHeight="1" x14ac:dyDescent="0.35">
      <c r="A9" s="18">
        <v>4</v>
      </c>
      <c r="B9" s="60" t="s">
        <v>9</v>
      </c>
      <c r="C9" s="19" t="s">
        <v>33</v>
      </c>
      <c r="D9" s="19" t="s">
        <v>48</v>
      </c>
      <c r="E9" s="20" t="s">
        <v>873</v>
      </c>
      <c r="F9" s="21" t="s">
        <v>877</v>
      </c>
      <c r="G9" s="19" t="s">
        <v>40</v>
      </c>
      <c r="H9" s="18" t="s">
        <v>37</v>
      </c>
      <c r="I9" s="20" t="s">
        <v>878</v>
      </c>
      <c r="J9" s="20"/>
    </row>
    <row r="10" spans="1:10" ht="23.25" customHeight="1" x14ac:dyDescent="0.35">
      <c r="A10" s="18">
        <v>5</v>
      </c>
      <c r="B10" s="60" t="s">
        <v>9</v>
      </c>
      <c r="C10" s="19" t="s">
        <v>33</v>
      </c>
      <c r="D10" s="19" t="s">
        <v>48</v>
      </c>
      <c r="E10" s="20" t="s">
        <v>873</v>
      </c>
      <c r="F10" s="21" t="s">
        <v>879</v>
      </c>
      <c r="G10" s="19" t="s">
        <v>40</v>
      </c>
      <c r="H10" s="18" t="s">
        <v>37</v>
      </c>
      <c r="I10" s="20" t="s">
        <v>880</v>
      </c>
      <c r="J10" s="20"/>
    </row>
    <row r="11" spans="1:10" ht="23.25" customHeight="1" x14ac:dyDescent="0.35">
      <c r="A11" s="18">
        <v>6</v>
      </c>
      <c r="B11" s="60" t="s">
        <v>9</v>
      </c>
      <c r="C11" s="19" t="s">
        <v>33</v>
      </c>
      <c r="D11" s="19" t="s">
        <v>48</v>
      </c>
      <c r="E11" s="20" t="s">
        <v>873</v>
      </c>
      <c r="F11" s="21" t="s">
        <v>881</v>
      </c>
      <c r="G11" s="19" t="s">
        <v>40</v>
      </c>
      <c r="H11" s="18" t="s">
        <v>37</v>
      </c>
      <c r="I11" s="20" t="s">
        <v>882</v>
      </c>
      <c r="J11" s="20"/>
    </row>
    <row r="12" spans="1:10" ht="23.25" customHeight="1" x14ac:dyDescent="0.35">
      <c r="A12" s="18">
        <v>7</v>
      </c>
      <c r="B12" s="60" t="s">
        <v>9</v>
      </c>
      <c r="C12" s="19" t="s">
        <v>33</v>
      </c>
      <c r="D12" s="19" t="s">
        <v>48</v>
      </c>
      <c r="E12" s="20" t="s">
        <v>883</v>
      </c>
      <c r="F12" s="21" t="s">
        <v>884</v>
      </c>
      <c r="G12" s="19" t="s">
        <v>36</v>
      </c>
      <c r="H12" s="18" t="s">
        <v>37</v>
      </c>
      <c r="I12" s="20" t="s">
        <v>885</v>
      </c>
      <c r="J12" s="20"/>
    </row>
    <row r="13" spans="1:10" ht="23.25" customHeight="1" x14ac:dyDescent="0.35">
      <c r="A13" s="18">
        <v>8</v>
      </c>
      <c r="B13" s="60" t="s">
        <v>9</v>
      </c>
      <c r="C13" s="19" t="s">
        <v>33</v>
      </c>
      <c r="D13" s="19" t="s">
        <v>48</v>
      </c>
      <c r="E13" s="20" t="s">
        <v>883</v>
      </c>
      <c r="F13" s="21" t="s">
        <v>886</v>
      </c>
      <c r="G13" s="19" t="s">
        <v>40</v>
      </c>
      <c r="H13" s="18" t="s">
        <v>37</v>
      </c>
      <c r="I13" s="20" t="s">
        <v>887</v>
      </c>
      <c r="J13" s="20"/>
    </row>
    <row r="14" spans="1:10" ht="23.25" customHeight="1" x14ac:dyDescent="0.35">
      <c r="A14" s="18">
        <v>9</v>
      </c>
      <c r="B14" s="60" t="s">
        <v>9</v>
      </c>
      <c r="C14" s="19" t="s">
        <v>33</v>
      </c>
      <c r="D14" s="19" t="s">
        <v>48</v>
      </c>
      <c r="E14" s="20" t="s">
        <v>883</v>
      </c>
      <c r="F14" s="21" t="s">
        <v>888</v>
      </c>
      <c r="G14" s="19" t="s">
        <v>40</v>
      </c>
      <c r="H14" s="18" t="s">
        <v>37</v>
      </c>
      <c r="I14" s="20" t="s">
        <v>889</v>
      </c>
      <c r="J14" s="20"/>
    </row>
    <row r="15" spans="1:10" ht="23.25" customHeight="1" x14ac:dyDescent="0.35">
      <c r="A15" s="18">
        <v>10</v>
      </c>
      <c r="B15" s="60" t="s">
        <v>9</v>
      </c>
      <c r="C15" s="19" t="s">
        <v>33</v>
      </c>
      <c r="D15" s="19" t="s">
        <v>48</v>
      </c>
      <c r="E15" s="20" t="s">
        <v>883</v>
      </c>
      <c r="F15" s="21" t="s">
        <v>890</v>
      </c>
      <c r="G15" s="19" t="s">
        <v>40</v>
      </c>
      <c r="H15" s="18" t="s">
        <v>37</v>
      </c>
      <c r="I15" s="20" t="s">
        <v>891</v>
      </c>
      <c r="J15" s="20"/>
    </row>
    <row r="16" spans="1:10" ht="15" customHeight="1" x14ac:dyDescent="0.35">
      <c r="A16" s="4" t="s">
        <v>304</v>
      </c>
      <c r="B16" s="4"/>
      <c r="C16" s="4"/>
      <c r="D16" s="4"/>
      <c r="E16" s="4"/>
      <c r="F16" s="4"/>
      <c r="G16" s="4"/>
      <c r="H16" s="4"/>
      <c r="I16" s="4"/>
      <c r="J16" s="4"/>
    </row>
    <row r="17" spans="1:10" ht="21.75" customHeight="1" x14ac:dyDescent="0.35">
      <c r="A17" s="18">
        <v>11</v>
      </c>
      <c r="B17" s="60" t="s">
        <v>9</v>
      </c>
      <c r="C17" s="19" t="s">
        <v>304</v>
      </c>
      <c r="D17" s="19" t="s">
        <v>48</v>
      </c>
      <c r="E17" s="20"/>
      <c r="F17" s="21" t="s">
        <v>892</v>
      </c>
      <c r="G17" s="19" t="s">
        <v>56</v>
      </c>
      <c r="H17" s="18" t="s">
        <v>57</v>
      </c>
      <c r="I17" s="20" t="s">
        <v>893</v>
      </c>
      <c r="J17" s="23" t="s">
        <v>894</v>
      </c>
    </row>
    <row r="18" spans="1:10" ht="23.25" customHeight="1" x14ac:dyDescent="0.35">
      <c r="A18" s="18">
        <v>12</v>
      </c>
      <c r="B18" s="60" t="s">
        <v>9</v>
      </c>
      <c r="C18" s="19" t="s">
        <v>304</v>
      </c>
      <c r="D18" s="19" t="s">
        <v>48</v>
      </c>
      <c r="E18" s="20" t="s">
        <v>873</v>
      </c>
      <c r="F18" s="21" t="s">
        <v>874</v>
      </c>
      <c r="G18" s="19" t="s">
        <v>36</v>
      </c>
      <c r="H18" s="18" t="s">
        <v>37</v>
      </c>
      <c r="I18" s="20" t="s">
        <v>875</v>
      </c>
      <c r="J18" s="23" t="s">
        <v>876</v>
      </c>
    </row>
    <row r="19" spans="1:10" ht="23.25" customHeight="1" x14ac:dyDescent="0.35">
      <c r="A19" s="18">
        <v>13</v>
      </c>
      <c r="B19" s="60" t="s">
        <v>9</v>
      </c>
      <c r="C19" s="19" t="s">
        <v>304</v>
      </c>
      <c r="D19" s="19" t="s">
        <v>48</v>
      </c>
      <c r="E19" s="20" t="s">
        <v>873</v>
      </c>
      <c r="F19" s="21" t="s">
        <v>877</v>
      </c>
      <c r="G19" s="19" t="s">
        <v>40</v>
      </c>
      <c r="H19" s="18" t="s">
        <v>37</v>
      </c>
      <c r="I19" s="20" t="s">
        <v>878</v>
      </c>
      <c r="J19" s="20"/>
    </row>
    <row r="20" spans="1:10" ht="23.25" customHeight="1" x14ac:dyDescent="0.35">
      <c r="A20" s="18">
        <v>14</v>
      </c>
      <c r="B20" s="60" t="s">
        <v>9</v>
      </c>
      <c r="C20" s="19" t="s">
        <v>304</v>
      </c>
      <c r="D20" s="19" t="s">
        <v>48</v>
      </c>
      <c r="E20" s="20" t="s">
        <v>873</v>
      </c>
      <c r="F20" s="21" t="s">
        <v>879</v>
      </c>
      <c r="G20" s="19" t="s">
        <v>40</v>
      </c>
      <c r="H20" s="18" t="s">
        <v>37</v>
      </c>
      <c r="I20" s="20" t="s">
        <v>880</v>
      </c>
      <c r="J20" s="20"/>
    </row>
    <row r="21" spans="1:10" ht="23.25" customHeight="1" x14ac:dyDescent="0.35">
      <c r="A21" s="18">
        <v>15</v>
      </c>
      <c r="B21" s="60" t="s">
        <v>9</v>
      </c>
      <c r="C21" s="19" t="s">
        <v>304</v>
      </c>
      <c r="D21" s="19" t="s">
        <v>48</v>
      </c>
      <c r="E21" s="20" t="s">
        <v>873</v>
      </c>
      <c r="F21" s="21" t="s">
        <v>881</v>
      </c>
      <c r="G21" s="19" t="s">
        <v>40</v>
      </c>
      <c r="H21" s="18" t="s">
        <v>37</v>
      </c>
      <c r="I21" s="20" t="s">
        <v>882</v>
      </c>
      <c r="J21" s="20"/>
    </row>
    <row r="22" spans="1:10" ht="23.25" customHeight="1" x14ac:dyDescent="0.35">
      <c r="A22" s="18">
        <v>16</v>
      </c>
      <c r="B22" s="60" t="s">
        <v>9</v>
      </c>
      <c r="C22" s="19" t="s">
        <v>304</v>
      </c>
      <c r="D22" s="19" t="s">
        <v>48</v>
      </c>
      <c r="E22" s="20"/>
      <c r="F22" s="21" t="s">
        <v>895</v>
      </c>
      <c r="G22" s="19" t="s">
        <v>56</v>
      </c>
      <c r="H22" s="18" t="s">
        <v>57</v>
      </c>
      <c r="I22" s="20" t="s">
        <v>896</v>
      </c>
      <c r="J22" s="20"/>
    </row>
    <row r="23" spans="1:10" ht="23.25" customHeight="1" x14ac:dyDescent="0.35">
      <c r="A23" s="18">
        <v>17</v>
      </c>
      <c r="B23" s="60" t="s">
        <v>9</v>
      </c>
      <c r="C23" s="19" t="s">
        <v>304</v>
      </c>
      <c r="D23" s="19" t="s">
        <v>48</v>
      </c>
      <c r="E23" s="20"/>
      <c r="F23" s="21" t="s">
        <v>897</v>
      </c>
      <c r="G23" s="19" t="s">
        <v>56</v>
      </c>
      <c r="H23" s="18" t="s">
        <v>57</v>
      </c>
      <c r="I23" s="20" t="s">
        <v>898</v>
      </c>
      <c r="J23" s="20"/>
    </row>
    <row r="24" spans="1:10" ht="23.25" customHeight="1" x14ac:dyDescent="0.35">
      <c r="A24" s="18">
        <v>18</v>
      </c>
      <c r="B24" s="60" t="s">
        <v>9</v>
      </c>
      <c r="C24" s="19" t="s">
        <v>304</v>
      </c>
      <c r="D24" s="19" t="s">
        <v>48</v>
      </c>
      <c r="E24" s="20"/>
      <c r="F24" s="21" t="s">
        <v>899</v>
      </c>
      <c r="G24" s="19" t="s">
        <v>56</v>
      </c>
      <c r="H24" s="18" t="s">
        <v>57</v>
      </c>
      <c r="I24" s="20" t="s">
        <v>900</v>
      </c>
      <c r="J24" s="20"/>
    </row>
    <row r="25" spans="1:10" ht="23.25" customHeight="1" x14ac:dyDescent="0.35">
      <c r="A25" s="18">
        <v>19</v>
      </c>
      <c r="B25" s="60" t="s">
        <v>9</v>
      </c>
      <c r="C25" s="19" t="s">
        <v>304</v>
      </c>
      <c r="D25" s="19" t="s">
        <v>48</v>
      </c>
      <c r="E25" s="20"/>
      <c r="F25" s="21" t="s">
        <v>901</v>
      </c>
      <c r="G25" s="19" t="s">
        <v>56</v>
      </c>
      <c r="H25" s="18" t="s">
        <v>57</v>
      </c>
      <c r="I25" s="20" t="s">
        <v>902</v>
      </c>
      <c r="J25" s="20"/>
    </row>
    <row r="26" spans="1:10" ht="23.25" customHeight="1" x14ac:dyDescent="0.35">
      <c r="A26" s="18">
        <v>20</v>
      </c>
      <c r="B26" s="60" t="s">
        <v>9</v>
      </c>
      <c r="C26" s="19" t="s">
        <v>304</v>
      </c>
      <c r="D26" s="19" t="s">
        <v>48</v>
      </c>
      <c r="E26" s="20"/>
      <c r="F26" s="21" t="s">
        <v>903</v>
      </c>
      <c r="G26" s="19" t="s">
        <v>56</v>
      </c>
      <c r="H26" s="18" t="s">
        <v>57</v>
      </c>
      <c r="I26" s="20" t="s">
        <v>904</v>
      </c>
      <c r="J26" s="20"/>
    </row>
    <row r="27" spans="1:10" ht="23.25" customHeight="1" x14ac:dyDescent="0.35">
      <c r="A27" s="18">
        <v>21</v>
      </c>
      <c r="B27" s="60" t="s">
        <v>9</v>
      </c>
      <c r="C27" s="19" t="s">
        <v>304</v>
      </c>
      <c r="D27" s="19" t="s">
        <v>48</v>
      </c>
      <c r="E27" s="20"/>
      <c r="F27" s="21" t="s">
        <v>868</v>
      </c>
      <c r="G27" s="19" t="s">
        <v>56</v>
      </c>
      <c r="H27" s="18" t="s">
        <v>57</v>
      </c>
      <c r="I27" s="20" t="s">
        <v>905</v>
      </c>
      <c r="J27" s="20"/>
    </row>
    <row r="28" spans="1:10" ht="23.25" customHeight="1" x14ac:dyDescent="0.35">
      <c r="A28" s="18">
        <v>22</v>
      </c>
      <c r="B28" s="60" t="s">
        <v>9</v>
      </c>
      <c r="C28" s="19" t="s">
        <v>304</v>
      </c>
      <c r="D28" s="19" t="s">
        <v>48</v>
      </c>
      <c r="E28" s="20"/>
      <c r="F28" s="21" t="s">
        <v>906</v>
      </c>
      <c r="G28" s="19" t="s">
        <v>56</v>
      </c>
      <c r="H28" s="18" t="s">
        <v>57</v>
      </c>
      <c r="I28" s="20" t="s">
        <v>907</v>
      </c>
      <c r="J28" s="20"/>
    </row>
    <row r="29" spans="1:10" ht="23.25" customHeight="1" x14ac:dyDescent="0.35">
      <c r="A29" s="18">
        <v>23</v>
      </c>
      <c r="B29" s="60" t="s">
        <v>9</v>
      </c>
      <c r="C29" s="19" t="s">
        <v>304</v>
      </c>
      <c r="D29" s="19" t="s">
        <v>48</v>
      </c>
      <c r="E29" s="20"/>
      <c r="F29" s="21" t="s">
        <v>908</v>
      </c>
      <c r="G29" s="19" t="s">
        <v>56</v>
      </c>
      <c r="H29" s="18" t="s">
        <v>57</v>
      </c>
      <c r="I29" s="20" t="s">
        <v>909</v>
      </c>
      <c r="J29" s="20"/>
    </row>
    <row r="30" spans="1:10" ht="23.25" customHeight="1" x14ac:dyDescent="0.35">
      <c r="A30" s="18">
        <v>24</v>
      </c>
      <c r="B30" s="60" t="s">
        <v>9</v>
      </c>
      <c r="C30" s="19" t="s">
        <v>304</v>
      </c>
      <c r="D30" s="19" t="s">
        <v>48</v>
      </c>
      <c r="E30" s="20"/>
      <c r="F30" s="21" t="s">
        <v>910</v>
      </c>
      <c r="G30" s="19" t="s">
        <v>56</v>
      </c>
      <c r="H30" s="18" t="s">
        <v>57</v>
      </c>
      <c r="I30" s="20" t="s">
        <v>911</v>
      </c>
      <c r="J30" s="20"/>
    </row>
    <row r="31" spans="1:10" ht="23.25" customHeight="1" x14ac:dyDescent="0.35">
      <c r="A31" s="18">
        <v>25</v>
      </c>
      <c r="B31" s="60" t="s">
        <v>9</v>
      </c>
      <c r="C31" s="19" t="s">
        <v>304</v>
      </c>
      <c r="D31" s="19" t="s">
        <v>48</v>
      </c>
      <c r="E31" s="20"/>
      <c r="F31" s="21" t="s">
        <v>912</v>
      </c>
      <c r="G31" s="19" t="s">
        <v>56</v>
      </c>
      <c r="H31" s="18" t="s">
        <v>57</v>
      </c>
      <c r="I31" s="20" t="s">
        <v>913</v>
      </c>
      <c r="J31" s="20"/>
    </row>
    <row r="32" spans="1:10" ht="23.25" customHeight="1" x14ac:dyDescent="0.35">
      <c r="A32" s="18">
        <v>26</v>
      </c>
      <c r="B32" s="60" t="s">
        <v>9</v>
      </c>
      <c r="C32" s="19" t="s">
        <v>304</v>
      </c>
      <c r="D32" s="19" t="s">
        <v>48</v>
      </c>
      <c r="E32" s="20"/>
      <c r="F32" s="21" t="s">
        <v>870</v>
      </c>
      <c r="G32" s="19" t="s">
        <v>871</v>
      </c>
      <c r="H32" s="18" t="s">
        <v>50</v>
      </c>
      <c r="I32" s="20" t="s">
        <v>914</v>
      </c>
      <c r="J32" s="20"/>
    </row>
    <row r="33" spans="1:10" ht="23.25" customHeight="1" x14ac:dyDescent="0.35">
      <c r="A33" s="18">
        <v>27</v>
      </c>
      <c r="B33" s="60" t="s">
        <v>9</v>
      </c>
      <c r="C33" s="19" t="s">
        <v>304</v>
      </c>
      <c r="D33" s="19" t="s">
        <v>48</v>
      </c>
      <c r="E33" s="20" t="s">
        <v>883</v>
      </c>
      <c r="F33" s="21" t="s">
        <v>884</v>
      </c>
      <c r="G33" s="19" t="s">
        <v>36</v>
      </c>
      <c r="H33" s="18" t="s">
        <v>37</v>
      </c>
      <c r="I33" s="20" t="s">
        <v>885</v>
      </c>
      <c r="J33" s="20"/>
    </row>
    <row r="34" spans="1:10" ht="23.25" customHeight="1" x14ac:dyDescent="0.35">
      <c r="A34" s="18">
        <v>28</v>
      </c>
      <c r="B34" s="60" t="s">
        <v>9</v>
      </c>
      <c r="C34" s="19" t="s">
        <v>304</v>
      </c>
      <c r="D34" s="19" t="s">
        <v>48</v>
      </c>
      <c r="E34" s="20" t="s">
        <v>883</v>
      </c>
      <c r="F34" s="21" t="s">
        <v>886</v>
      </c>
      <c r="G34" s="19" t="s">
        <v>40</v>
      </c>
      <c r="H34" s="18" t="s">
        <v>37</v>
      </c>
      <c r="I34" s="20" t="s">
        <v>887</v>
      </c>
      <c r="J34" s="20"/>
    </row>
    <row r="35" spans="1:10" ht="23.25" customHeight="1" x14ac:dyDescent="0.35">
      <c r="A35" s="18">
        <v>29</v>
      </c>
      <c r="B35" s="60" t="s">
        <v>9</v>
      </c>
      <c r="C35" s="19" t="s">
        <v>304</v>
      </c>
      <c r="D35" s="19" t="s">
        <v>48</v>
      </c>
      <c r="E35" s="20" t="s">
        <v>883</v>
      </c>
      <c r="F35" s="21" t="s">
        <v>888</v>
      </c>
      <c r="G35" s="19" t="s">
        <v>40</v>
      </c>
      <c r="H35" s="18" t="s">
        <v>37</v>
      </c>
      <c r="I35" s="20" t="s">
        <v>889</v>
      </c>
      <c r="J35" s="20"/>
    </row>
    <row r="36" spans="1:10" ht="23.25" customHeight="1" x14ac:dyDescent="0.35">
      <c r="A36" s="18">
        <v>30</v>
      </c>
      <c r="B36" s="60" t="s">
        <v>9</v>
      </c>
      <c r="C36" s="19" t="s">
        <v>304</v>
      </c>
      <c r="D36" s="19" t="s">
        <v>48</v>
      </c>
      <c r="E36" s="20" t="s">
        <v>883</v>
      </c>
      <c r="F36" s="21" t="s">
        <v>890</v>
      </c>
      <c r="G36" s="19" t="s">
        <v>40</v>
      </c>
      <c r="H36" s="18" t="s">
        <v>37</v>
      </c>
      <c r="I36" s="20" t="s">
        <v>891</v>
      </c>
      <c r="J36" s="20"/>
    </row>
    <row r="37" spans="1:10" ht="15" customHeight="1" x14ac:dyDescent="0.35">
      <c r="A37" s="4" t="s">
        <v>428</v>
      </c>
      <c r="B37" s="4"/>
      <c r="C37" s="4"/>
      <c r="D37" s="4"/>
      <c r="E37" s="4"/>
      <c r="F37" s="4"/>
      <c r="G37" s="4"/>
      <c r="H37" s="4"/>
      <c r="I37" s="4"/>
      <c r="J37" s="4"/>
    </row>
    <row r="38" spans="1:10" ht="15" customHeight="1" x14ac:dyDescent="0.35">
      <c r="A38" s="18">
        <v>31</v>
      </c>
      <c r="B38" s="60" t="s">
        <v>9</v>
      </c>
      <c r="C38" s="19" t="s">
        <v>428</v>
      </c>
      <c r="D38" s="19" t="s">
        <v>34</v>
      </c>
      <c r="E38" s="20"/>
      <c r="F38" s="21" t="s">
        <v>915</v>
      </c>
      <c r="G38" s="19" t="s">
        <v>40</v>
      </c>
      <c r="H38" s="18" t="s">
        <v>37</v>
      </c>
      <c r="I38" s="20" t="s">
        <v>916</v>
      </c>
      <c r="J38" s="20"/>
    </row>
    <row r="39" spans="1:10" ht="15" customHeight="1" x14ac:dyDescent="0.35">
      <c r="A39" s="18">
        <v>32</v>
      </c>
      <c r="B39" s="60" t="s">
        <v>9</v>
      </c>
      <c r="C39" s="19" t="s">
        <v>428</v>
      </c>
      <c r="D39" s="19" t="s">
        <v>34</v>
      </c>
      <c r="E39" s="20"/>
      <c r="F39" s="21" t="s">
        <v>917</v>
      </c>
      <c r="G39" s="19" t="s">
        <v>40</v>
      </c>
      <c r="H39" s="18" t="s">
        <v>37</v>
      </c>
      <c r="I39" s="20" t="s">
        <v>918</v>
      </c>
      <c r="J39" s="20"/>
    </row>
    <row r="40" spans="1:10" ht="15" customHeight="1" x14ac:dyDescent="0.35">
      <c r="A40" s="18">
        <v>33</v>
      </c>
      <c r="B40" s="60" t="s">
        <v>9</v>
      </c>
      <c r="C40" s="19" t="s">
        <v>428</v>
      </c>
      <c r="D40" s="19" t="s">
        <v>34</v>
      </c>
      <c r="E40" s="20"/>
      <c r="F40" s="21" t="s">
        <v>919</v>
      </c>
      <c r="G40" s="19" t="s">
        <v>40</v>
      </c>
      <c r="H40" s="18" t="s">
        <v>37</v>
      </c>
      <c r="I40" s="20" t="s">
        <v>920</v>
      </c>
      <c r="J40" s="20"/>
    </row>
    <row r="41" spans="1:10" ht="15" customHeight="1" x14ac:dyDescent="0.35">
      <c r="A41" s="18">
        <v>34</v>
      </c>
      <c r="B41" s="60" t="s">
        <v>9</v>
      </c>
      <c r="C41" s="19" t="s">
        <v>428</v>
      </c>
      <c r="D41" s="19" t="s">
        <v>48</v>
      </c>
      <c r="E41" s="20"/>
      <c r="F41" s="21" t="s">
        <v>892</v>
      </c>
      <c r="G41" s="19" t="s">
        <v>56</v>
      </c>
      <c r="H41" s="18" t="s">
        <v>57</v>
      </c>
      <c r="I41" s="20" t="s">
        <v>921</v>
      </c>
      <c r="J41" s="23" t="s">
        <v>922</v>
      </c>
    </row>
    <row r="42" spans="1:10" ht="23.25" customHeight="1" x14ac:dyDescent="0.35">
      <c r="A42" s="18">
        <v>35</v>
      </c>
      <c r="B42" s="60" t="s">
        <v>9</v>
      </c>
      <c r="C42" s="19" t="s">
        <v>428</v>
      </c>
      <c r="D42" s="19" t="s">
        <v>48</v>
      </c>
      <c r="E42" s="20"/>
      <c r="F42" s="21" t="s">
        <v>923</v>
      </c>
      <c r="G42" s="19" t="s">
        <v>56</v>
      </c>
      <c r="H42" s="18" t="s">
        <v>57</v>
      </c>
      <c r="I42" s="20" t="s">
        <v>924</v>
      </c>
      <c r="J42" s="20"/>
    </row>
    <row r="43" spans="1:10" ht="15" customHeight="1" x14ac:dyDescent="0.35">
      <c r="A43" s="18">
        <v>36</v>
      </c>
      <c r="B43" s="60" t="s">
        <v>9</v>
      </c>
      <c r="C43" s="19" t="s">
        <v>428</v>
      </c>
      <c r="D43" s="19" t="s">
        <v>48</v>
      </c>
      <c r="E43" s="20"/>
      <c r="F43" s="21" t="s">
        <v>925</v>
      </c>
      <c r="G43" s="19" t="s">
        <v>36</v>
      </c>
      <c r="H43" s="18" t="s">
        <v>57</v>
      </c>
      <c r="I43" s="20" t="s">
        <v>926</v>
      </c>
      <c r="J43" s="20"/>
    </row>
    <row r="44" spans="1:10" ht="15" customHeight="1" x14ac:dyDescent="0.35">
      <c r="A44" s="18">
        <v>37</v>
      </c>
      <c r="B44" s="60" t="s">
        <v>9</v>
      </c>
      <c r="C44" s="19" t="s">
        <v>428</v>
      </c>
      <c r="D44" s="19" t="s">
        <v>48</v>
      </c>
      <c r="E44" s="20"/>
      <c r="F44" s="21" t="s">
        <v>927</v>
      </c>
      <c r="G44" s="19" t="s">
        <v>36</v>
      </c>
      <c r="H44" s="18" t="s">
        <v>57</v>
      </c>
      <c r="I44" s="20" t="s">
        <v>928</v>
      </c>
      <c r="J44" s="20"/>
    </row>
    <row r="45" spans="1:10" ht="23.25" customHeight="1" x14ac:dyDescent="0.35">
      <c r="A45" s="18">
        <v>38</v>
      </c>
      <c r="B45" s="60" t="s">
        <v>9</v>
      </c>
      <c r="C45" s="19" t="s">
        <v>428</v>
      </c>
      <c r="D45" s="19" t="s">
        <v>48</v>
      </c>
      <c r="E45" s="20"/>
      <c r="F45" s="21" t="s">
        <v>929</v>
      </c>
      <c r="G45" s="19" t="s">
        <v>56</v>
      </c>
      <c r="H45" s="18" t="s">
        <v>57</v>
      </c>
      <c r="I45" s="20" t="s">
        <v>930</v>
      </c>
      <c r="J45" s="20"/>
    </row>
    <row r="46" spans="1:10" ht="15" customHeight="1" x14ac:dyDescent="0.35">
      <c r="A46" s="18">
        <v>39</v>
      </c>
      <c r="B46" s="60" t="s">
        <v>9</v>
      </c>
      <c r="C46" s="19" t="s">
        <v>428</v>
      </c>
      <c r="D46" s="19" t="s">
        <v>48</v>
      </c>
      <c r="E46" s="20"/>
      <c r="F46" s="21" t="s">
        <v>931</v>
      </c>
      <c r="G46" s="19" t="s">
        <v>36</v>
      </c>
      <c r="H46" s="18" t="s">
        <v>57</v>
      </c>
      <c r="I46" s="20" t="s">
        <v>932</v>
      </c>
      <c r="J46" s="20"/>
    </row>
    <row r="47" spans="1:10" ht="15" customHeight="1" x14ac:dyDescent="0.35">
      <c r="A47" s="18">
        <v>40</v>
      </c>
      <c r="B47" s="60" t="s">
        <v>9</v>
      </c>
      <c r="C47" s="19" t="s">
        <v>428</v>
      </c>
      <c r="D47" s="19" t="s">
        <v>48</v>
      </c>
      <c r="E47" s="20"/>
      <c r="F47" s="21" t="s">
        <v>933</v>
      </c>
      <c r="G47" s="19" t="s">
        <v>36</v>
      </c>
      <c r="H47" s="18" t="s">
        <v>57</v>
      </c>
      <c r="I47" s="20" t="s">
        <v>934</v>
      </c>
      <c r="J47" s="20"/>
    </row>
    <row r="48" spans="1:10" ht="23.25" customHeight="1" x14ac:dyDescent="0.35">
      <c r="A48" s="18">
        <v>41</v>
      </c>
      <c r="B48" s="60" t="s">
        <v>9</v>
      </c>
      <c r="C48" s="19" t="s">
        <v>428</v>
      </c>
      <c r="D48" s="19" t="s">
        <v>48</v>
      </c>
      <c r="E48" s="20"/>
      <c r="F48" s="21" t="s">
        <v>935</v>
      </c>
      <c r="G48" s="19" t="s">
        <v>422</v>
      </c>
      <c r="H48" s="18" t="s">
        <v>50</v>
      </c>
      <c r="I48" s="20" t="s">
        <v>936</v>
      </c>
      <c r="J48" s="20"/>
    </row>
    <row r="49" spans="1:10" ht="23.25" customHeight="1" x14ac:dyDescent="0.35">
      <c r="A49" s="18">
        <v>42</v>
      </c>
      <c r="B49" s="60" t="s">
        <v>9</v>
      </c>
      <c r="C49" s="19" t="s">
        <v>428</v>
      </c>
      <c r="D49" s="19" t="s">
        <v>48</v>
      </c>
      <c r="E49" s="20"/>
      <c r="F49" s="21" t="s">
        <v>899</v>
      </c>
      <c r="G49" s="19" t="s">
        <v>56</v>
      </c>
      <c r="H49" s="18" t="s">
        <v>57</v>
      </c>
      <c r="I49" s="20" t="s">
        <v>937</v>
      </c>
      <c r="J49" s="20"/>
    </row>
    <row r="50" spans="1:10" ht="23.25" customHeight="1" x14ac:dyDescent="0.35">
      <c r="A50" s="18">
        <v>43</v>
      </c>
      <c r="B50" s="60" t="s">
        <v>9</v>
      </c>
      <c r="C50" s="19" t="s">
        <v>428</v>
      </c>
      <c r="D50" s="19" t="s">
        <v>48</v>
      </c>
      <c r="E50" s="20"/>
      <c r="F50" s="21" t="s">
        <v>901</v>
      </c>
      <c r="G50" s="19" t="s">
        <v>56</v>
      </c>
      <c r="H50" s="18" t="s">
        <v>57</v>
      </c>
      <c r="I50" s="20" t="s">
        <v>938</v>
      </c>
      <c r="J50" s="20"/>
    </row>
    <row r="51" spans="1:10" ht="23.25" customHeight="1" x14ac:dyDescent="0.35">
      <c r="A51" s="18">
        <v>44</v>
      </c>
      <c r="B51" s="60" t="s">
        <v>9</v>
      </c>
      <c r="C51" s="19" t="s">
        <v>428</v>
      </c>
      <c r="D51" s="19" t="s">
        <v>48</v>
      </c>
      <c r="E51" s="20"/>
      <c r="F51" s="21" t="s">
        <v>903</v>
      </c>
      <c r="G51" s="19" t="s">
        <v>56</v>
      </c>
      <c r="H51" s="18" t="s">
        <v>57</v>
      </c>
      <c r="I51" s="20" t="s">
        <v>939</v>
      </c>
      <c r="J51" s="20"/>
    </row>
    <row r="52" spans="1:10" ht="23.25" customHeight="1" x14ac:dyDescent="0.35">
      <c r="A52" s="18">
        <v>45</v>
      </c>
      <c r="B52" s="60" t="s">
        <v>9</v>
      </c>
      <c r="C52" s="19" t="s">
        <v>428</v>
      </c>
      <c r="D52" s="19" t="s">
        <v>48</v>
      </c>
      <c r="E52" s="20"/>
      <c r="F52" s="21" t="s">
        <v>868</v>
      </c>
      <c r="G52" s="19" t="s">
        <v>56</v>
      </c>
      <c r="H52" s="18" t="s">
        <v>57</v>
      </c>
      <c r="I52" s="20" t="s">
        <v>869</v>
      </c>
      <c r="J52" s="20"/>
    </row>
    <row r="53" spans="1:10" ht="23.25" customHeight="1" x14ac:dyDescent="0.35">
      <c r="A53" s="18">
        <v>46</v>
      </c>
      <c r="B53" s="60" t="s">
        <v>9</v>
      </c>
      <c r="C53" s="19" t="s">
        <v>428</v>
      </c>
      <c r="D53" s="19" t="s">
        <v>48</v>
      </c>
      <c r="E53" s="20"/>
      <c r="F53" s="21" t="s">
        <v>906</v>
      </c>
      <c r="G53" s="19" t="s">
        <v>56</v>
      </c>
      <c r="H53" s="18" t="s">
        <v>57</v>
      </c>
      <c r="I53" s="20" t="s">
        <v>940</v>
      </c>
      <c r="J53" s="20"/>
    </row>
    <row r="54" spans="1:10" ht="23.25" customHeight="1" x14ac:dyDescent="0.35">
      <c r="A54" s="18">
        <v>47</v>
      </c>
      <c r="B54" s="60" t="s">
        <v>9</v>
      </c>
      <c r="C54" s="19" t="s">
        <v>428</v>
      </c>
      <c r="D54" s="19" t="s">
        <v>48</v>
      </c>
      <c r="E54" s="20"/>
      <c r="F54" s="21" t="s">
        <v>941</v>
      </c>
      <c r="G54" s="19" t="s">
        <v>56</v>
      </c>
      <c r="H54" s="18" t="s">
        <v>57</v>
      </c>
      <c r="I54" s="20" t="s">
        <v>942</v>
      </c>
      <c r="J54" s="20"/>
    </row>
    <row r="55" spans="1:10" ht="23.25" customHeight="1" x14ac:dyDescent="0.35">
      <c r="A55" s="18">
        <v>48</v>
      </c>
      <c r="B55" s="60" t="s">
        <v>9</v>
      </c>
      <c r="C55" s="19" t="s">
        <v>428</v>
      </c>
      <c r="D55" s="19" t="s">
        <v>48</v>
      </c>
      <c r="E55" s="20"/>
      <c r="F55" s="21" t="s">
        <v>908</v>
      </c>
      <c r="G55" s="19" t="s">
        <v>56</v>
      </c>
      <c r="H55" s="18" t="s">
        <v>57</v>
      </c>
      <c r="I55" s="20" t="s">
        <v>943</v>
      </c>
      <c r="J55" s="20"/>
    </row>
    <row r="56" spans="1:10" ht="23.25" customHeight="1" x14ac:dyDescent="0.35">
      <c r="A56" s="18">
        <v>49</v>
      </c>
      <c r="B56" s="60" t="s">
        <v>9</v>
      </c>
      <c r="C56" s="19" t="s">
        <v>428</v>
      </c>
      <c r="D56" s="19" t="s">
        <v>48</v>
      </c>
      <c r="E56" s="20"/>
      <c r="F56" s="21" t="s">
        <v>910</v>
      </c>
      <c r="G56" s="19" t="s">
        <v>56</v>
      </c>
      <c r="H56" s="18" t="s">
        <v>57</v>
      </c>
      <c r="I56" s="20" t="s">
        <v>944</v>
      </c>
      <c r="J56" s="20"/>
    </row>
    <row r="57" spans="1:10" ht="23.25" customHeight="1" x14ac:dyDescent="0.35">
      <c r="A57" s="18">
        <v>50</v>
      </c>
      <c r="B57" s="60" t="s">
        <v>9</v>
      </c>
      <c r="C57" s="19" t="s">
        <v>428</v>
      </c>
      <c r="D57" s="19" t="s">
        <v>48</v>
      </c>
      <c r="E57" s="20"/>
      <c r="F57" s="21" t="s">
        <v>870</v>
      </c>
      <c r="G57" s="19" t="s">
        <v>871</v>
      </c>
      <c r="H57" s="18" t="s">
        <v>50</v>
      </c>
      <c r="I57" s="20" t="s">
        <v>945</v>
      </c>
      <c r="J57" s="20"/>
    </row>
    <row r="58" spans="1:10" ht="15" customHeight="1" x14ac:dyDescent="0.35">
      <c r="A58" s="18">
        <v>51</v>
      </c>
      <c r="B58" s="60" t="s">
        <v>9</v>
      </c>
      <c r="C58" s="19" t="s">
        <v>428</v>
      </c>
      <c r="D58" s="19" t="s">
        <v>48</v>
      </c>
      <c r="E58" s="20" t="s">
        <v>946</v>
      </c>
      <c r="F58" s="21" t="s">
        <v>947</v>
      </c>
      <c r="G58" s="19" t="s">
        <v>36</v>
      </c>
      <c r="H58" s="18" t="s">
        <v>37</v>
      </c>
      <c r="I58" s="20" t="s">
        <v>948</v>
      </c>
      <c r="J58" s="20"/>
    </row>
    <row r="59" spans="1:10" ht="15" customHeight="1" x14ac:dyDescent="0.35">
      <c r="A59" s="18">
        <v>52</v>
      </c>
      <c r="B59" s="60" t="s">
        <v>9</v>
      </c>
      <c r="C59" s="19" t="s">
        <v>428</v>
      </c>
      <c r="D59" s="19" t="s">
        <v>48</v>
      </c>
      <c r="E59" s="20" t="s">
        <v>946</v>
      </c>
      <c r="F59" s="21" t="s">
        <v>949</v>
      </c>
      <c r="G59" s="19" t="s">
        <v>40</v>
      </c>
      <c r="H59" s="18" t="s">
        <v>37</v>
      </c>
      <c r="I59" s="20" t="s">
        <v>950</v>
      </c>
      <c r="J59" s="20"/>
    </row>
    <row r="60" spans="1:10" ht="15" customHeight="1" x14ac:dyDescent="0.35">
      <c r="A60" s="18">
        <v>53</v>
      </c>
      <c r="B60" s="60" t="s">
        <v>9</v>
      </c>
      <c r="C60" s="19" t="s">
        <v>428</v>
      </c>
      <c r="D60" s="19" t="s">
        <v>48</v>
      </c>
      <c r="E60" s="20" t="s">
        <v>946</v>
      </c>
      <c r="F60" s="21" t="s">
        <v>951</v>
      </c>
      <c r="G60" s="19" t="s">
        <v>40</v>
      </c>
      <c r="H60" s="18" t="s">
        <v>37</v>
      </c>
      <c r="I60" s="20" t="s">
        <v>952</v>
      </c>
      <c r="J60" s="20"/>
    </row>
    <row r="61" spans="1:10" ht="15" customHeight="1" x14ac:dyDescent="0.35">
      <c r="A61" s="18">
        <v>54</v>
      </c>
      <c r="B61" s="60" t="s">
        <v>9</v>
      </c>
      <c r="C61" s="19" t="s">
        <v>428</v>
      </c>
      <c r="D61" s="19" t="s">
        <v>48</v>
      </c>
      <c r="E61" s="20" t="s">
        <v>946</v>
      </c>
      <c r="F61" s="21" t="s">
        <v>953</v>
      </c>
      <c r="G61" s="19" t="s">
        <v>40</v>
      </c>
      <c r="H61" s="18" t="s">
        <v>37</v>
      </c>
      <c r="I61" s="20" t="s">
        <v>954</v>
      </c>
      <c r="J61" s="20"/>
    </row>
    <row r="62" spans="1:10" ht="23.25" customHeight="1" x14ac:dyDescent="0.35">
      <c r="A62" s="18">
        <v>55</v>
      </c>
      <c r="B62" s="60" t="s">
        <v>9</v>
      </c>
      <c r="C62" s="19" t="s">
        <v>428</v>
      </c>
      <c r="D62" s="19" t="s">
        <v>48</v>
      </c>
      <c r="E62" s="20"/>
      <c r="F62" s="21" t="s">
        <v>895</v>
      </c>
      <c r="G62" s="19" t="s">
        <v>56</v>
      </c>
      <c r="H62" s="18" t="s">
        <v>57</v>
      </c>
      <c r="I62" s="20" t="s">
        <v>955</v>
      </c>
      <c r="J62" s="20"/>
    </row>
    <row r="63" spans="1:10" ht="23.25" customHeight="1" x14ac:dyDescent="0.35">
      <c r="A63" s="18">
        <v>56</v>
      </c>
      <c r="B63" s="60" t="s">
        <v>9</v>
      </c>
      <c r="C63" s="19" t="s">
        <v>428</v>
      </c>
      <c r="D63" s="19" t="s">
        <v>48</v>
      </c>
      <c r="E63" s="20" t="s">
        <v>883</v>
      </c>
      <c r="F63" s="21" t="s">
        <v>884</v>
      </c>
      <c r="G63" s="19" t="s">
        <v>36</v>
      </c>
      <c r="H63" s="18" t="s">
        <v>37</v>
      </c>
      <c r="I63" s="20" t="s">
        <v>885</v>
      </c>
      <c r="J63" s="20"/>
    </row>
    <row r="64" spans="1:10" ht="23.25" customHeight="1" x14ac:dyDescent="0.35">
      <c r="A64" s="18">
        <v>57</v>
      </c>
      <c r="B64" s="60" t="s">
        <v>9</v>
      </c>
      <c r="C64" s="19" t="s">
        <v>428</v>
      </c>
      <c r="D64" s="19" t="s">
        <v>48</v>
      </c>
      <c r="E64" s="20" t="s">
        <v>883</v>
      </c>
      <c r="F64" s="21" t="s">
        <v>886</v>
      </c>
      <c r="G64" s="19" t="s">
        <v>40</v>
      </c>
      <c r="H64" s="18" t="s">
        <v>37</v>
      </c>
      <c r="I64" s="20" t="s">
        <v>887</v>
      </c>
      <c r="J64" s="20"/>
    </row>
    <row r="65" spans="1:10" ht="23.25" customHeight="1" x14ac:dyDescent="0.35">
      <c r="A65" s="18">
        <v>58</v>
      </c>
      <c r="B65" s="60" t="s">
        <v>9</v>
      </c>
      <c r="C65" s="19" t="s">
        <v>428</v>
      </c>
      <c r="D65" s="19" t="s">
        <v>48</v>
      </c>
      <c r="E65" s="20" t="s">
        <v>883</v>
      </c>
      <c r="F65" s="21" t="s">
        <v>888</v>
      </c>
      <c r="G65" s="19" t="s">
        <v>40</v>
      </c>
      <c r="H65" s="18" t="s">
        <v>37</v>
      </c>
      <c r="I65" s="20" t="s">
        <v>889</v>
      </c>
      <c r="J65" s="20"/>
    </row>
    <row r="66" spans="1:10" ht="23.25" customHeight="1" x14ac:dyDescent="0.35">
      <c r="A66" s="18">
        <v>59</v>
      </c>
      <c r="B66" s="60" t="s">
        <v>9</v>
      </c>
      <c r="C66" s="19" t="s">
        <v>428</v>
      </c>
      <c r="D66" s="19" t="s">
        <v>48</v>
      </c>
      <c r="E66" s="20" t="s">
        <v>883</v>
      </c>
      <c r="F66" s="21" t="s">
        <v>890</v>
      </c>
      <c r="G66" s="19" t="s">
        <v>40</v>
      </c>
      <c r="H66" s="18" t="s">
        <v>37</v>
      </c>
      <c r="I66" s="20" t="s">
        <v>891</v>
      </c>
      <c r="J66" s="20"/>
    </row>
    <row r="67" spans="1:10" ht="15" customHeight="1" x14ac:dyDescent="0.35">
      <c r="A67" s="18">
        <v>60</v>
      </c>
      <c r="B67" s="60" t="s">
        <v>9</v>
      </c>
      <c r="C67" s="19" t="s">
        <v>428</v>
      </c>
      <c r="D67" s="19" t="s">
        <v>48</v>
      </c>
      <c r="E67" s="20"/>
      <c r="F67" s="21" t="s">
        <v>956</v>
      </c>
      <c r="G67" s="19" t="s">
        <v>309</v>
      </c>
      <c r="H67" s="18" t="s">
        <v>57</v>
      </c>
      <c r="I67" s="20" t="s">
        <v>957</v>
      </c>
      <c r="J67" s="20"/>
    </row>
    <row r="68" spans="1:10" ht="15" customHeight="1" x14ac:dyDescent="0.35">
      <c r="A68" s="18">
        <v>61</v>
      </c>
      <c r="B68" s="60" t="s">
        <v>9</v>
      </c>
      <c r="C68" s="19" t="s">
        <v>428</v>
      </c>
      <c r="D68" s="19" t="s">
        <v>48</v>
      </c>
      <c r="E68" s="20"/>
      <c r="F68" s="21" t="s">
        <v>958</v>
      </c>
      <c r="G68" s="19" t="s">
        <v>40</v>
      </c>
      <c r="H68" s="18" t="s">
        <v>50</v>
      </c>
      <c r="I68" s="20" t="s">
        <v>959</v>
      </c>
      <c r="J68" s="20"/>
    </row>
    <row r="69" spans="1:10" ht="15" customHeight="1" x14ac:dyDescent="0.35">
      <c r="A69" s="18">
        <v>62</v>
      </c>
      <c r="B69" s="60" t="s">
        <v>9</v>
      </c>
      <c r="C69" s="19" t="s">
        <v>428</v>
      </c>
      <c r="D69" s="19" t="s">
        <v>48</v>
      </c>
      <c r="E69" s="20" t="s">
        <v>960</v>
      </c>
      <c r="F69" s="21" t="s">
        <v>961</v>
      </c>
      <c r="G69" s="19" t="s">
        <v>36</v>
      </c>
      <c r="H69" s="18" t="s">
        <v>37</v>
      </c>
      <c r="I69" s="20" t="s">
        <v>962</v>
      </c>
      <c r="J69" s="20"/>
    </row>
    <row r="70" spans="1:10" ht="15" customHeight="1" x14ac:dyDescent="0.35">
      <c r="A70" s="18">
        <v>63</v>
      </c>
      <c r="B70" s="60" t="s">
        <v>9</v>
      </c>
      <c r="C70" s="19" t="s">
        <v>428</v>
      </c>
      <c r="D70" s="19" t="s">
        <v>48</v>
      </c>
      <c r="E70" s="20" t="s">
        <v>960</v>
      </c>
      <c r="F70" s="21" t="s">
        <v>963</v>
      </c>
      <c r="G70" s="19" t="s">
        <v>40</v>
      </c>
      <c r="H70" s="18" t="s">
        <v>37</v>
      </c>
      <c r="I70" s="20" t="s">
        <v>964</v>
      </c>
      <c r="J70" s="20"/>
    </row>
    <row r="71" spans="1:10" ht="15" customHeight="1" x14ac:dyDescent="0.35">
      <c r="A71" s="18">
        <v>64</v>
      </c>
      <c r="B71" s="60" t="s">
        <v>9</v>
      </c>
      <c r="C71" s="19" t="s">
        <v>428</v>
      </c>
      <c r="D71" s="19" t="s">
        <v>48</v>
      </c>
      <c r="E71" s="20" t="s">
        <v>960</v>
      </c>
      <c r="F71" s="21" t="s">
        <v>965</v>
      </c>
      <c r="G71" s="19" t="s">
        <v>40</v>
      </c>
      <c r="H71" s="18" t="s">
        <v>37</v>
      </c>
      <c r="I71" s="20" t="s">
        <v>966</v>
      </c>
      <c r="J71" s="20"/>
    </row>
    <row r="72" spans="1:10" ht="15" customHeight="1" x14ac:dyDescent="0.35">
      <c r="A72" s="18">
        <v>65</v>
      </c>
      <c r="B72" s="60" t="s">
        <v>9</v>
      </c>
      <c r="C72" s="19" t="s">
        <v>428</v>
      </c>
      <c r="D72" s="19" t="s">
        <v>48</v>
      </c>
      <c r="E72" s="20" t="s">
        <v>960</v>
      </c>
      <c r="F72" s="21" t="s">
        <v>967</v>
      </c>
      <c r="G72" s="19" t="s">
        <v>40</v>
      </c>
      <c r="H72" s="18" t="s">
        <v>37</v>
      </c>
      <c r="I72" s="20" t="s">
        <v>968</v>
      </c>
      <c r="J72" s="20"/>
    </row>
    <row r="73" spans="1:10" ht="15" customHeight="1" x14ac:dyDescent="0.35">
      <c r="A73" s="18">
        <v>66</v>
      </c>
      <c r="B73" s="60" t="s">
        <v>9</v>
      </c>
      <c r="C73" s="19" t="s">
        <v>428</v>
      </c>
      <c r="D73" s="19" t="s">
        <v>48</v>
      </c>
      <c r="E73" s="20" t="s">
        <v>960</v>
      </c>
      <c r="F73" s="21" t="s">
        <v>969</v>
      </c>
      <c r="G73" s="19" t="s">
        <v>40</v>
      </c>
      <c r="H73" s="18" t="s">
        <v>37</v>
      </c>
      <c r="I73" s="20" t="s">
        <v>970</v>
      </c>
      <c r="J73" s="20"/>
    </row>
    <row r="74" spans="1:10" ht="15" customHeight="1" x14ac:dyDescent="0.35">
      <c r="A74" s="18">
        <v>67</v>
      </c>
      <c r="B74" s="60" t="s">
        <v>9</v>
      </c>
      <c r="C74" s="19" t="s">
        <v>428</v>
      </c>
      <c r="D74" s="19" t="s">
        <v>48</v>
      </c>
      <c r="E74" s="20"/>
      <c r="F74" s="21" t="s">
        <v>971</v>
      </c>
      <c r="G74" s="19" t="s">
        <v>36</v>
      </c>
      <c r="H74" s="18" t="s">
        <v>57</v>
      </c>
      <c r="I74" s="20" t="s">
        <v>972</v>
      </c>
      <c r="J74" s="20"/>
    </row>
    <row r="75" spans="1:10" ht="23.25" customHeight="1" x14ac:dyDescent="0.35">
      <c r="A75" s="18">
        <v>68</v>
      </c>
      <c r="B75" s="60" t="s">
        <v>9</v>
      </c>
      <c r="C75" s="19" t="s">
        <v>428</v>
      </c>
      <c r="D75" s="19" t="s">
        <v>48</v>
      </c>
      <c r="E75" s="20" t="s">
        <v>973</v>
      </c>
      <c r="F75" s="21" t="s">
        <v>974</v>
      </c>
      <c r="G75" s="19" t="s">
        <v>36</v>
      </c>
      <c r="H75" s="18" t="s">
        <v>57</v>
      </c>
      <c r="I75" s="20" t="s">
        <v>975</v>
      </c>
      <c r="J75" s="20"/>
    </row>
    <row r="76" spans="1:10" ht="23.25" customHeight="1" x14ac:dyDescent="0.35">
      <c r="A76" s="18">
        <v>69</v>
      </c>
      <c r="B76" s="60" t="s">
        <v>9</v>
      </c>
      <c r="C76" s="19" t="s">
        <v>428</v>
      </c>
      <c r="D76" s="19" t="s">
        <v>48</v>
      </c>
      <c r="E76" s="20" t="s">
        <v>973</v>
      </c>
      <c r="F76" s="21" t="s">
        <v>976</v>
      </c>
      <c r="G76" s="19" t="s">
        <v>36</v>
      </c>
      <c r="H76" s="18" t="s">
        <v>50</v>
      </c>
      <c r="I76" s="20" t="s">
        <v>977</v>
      </c>
      <c r="J76" s="20"/>
    </row>
    <row r="77" spans="1:10" ht="23.25" customHeight="1" x14ac:dyDescent="0.35">
      <c r="A77" s="18">
        <v>70</v>
      </c>
      <c r="B77" s="60" t="s">
        <v>9</v>
      </c>
      <c r="C77" s="19" t="s">
        <v>428</v>
      </c>
      <c r="D77" s="19" t="s">
        <v>48</v>
      </c>
      <c r="E77" s="20" t="s">
        <v>973</v>
      </c>
      <c r="F77" s="21" t="s">
        <v>978</v>
      </c>
      <c r="G77" s="19" t="s">
        <v>40</v>
      </c>
      <c r="H77" s="18" t="s">
        <v>50</v>
      </c>
      <c r="I77" s="20" t="s">
        <v>979</v>
      </c>
      <c r="J77" s="20"/>
    </row>
    <row r="78" spans="1:10" ht="23.25" customHeight="1" x14ac:dyDescent="0.35">
      <c r="A78" s="18">
        <v>71</v>
      </c>
      <c r="B78" s="60" t="s">
        <v>9</v>
      </c>
      <c r="C78" s="19" t="s">
        <v>428</v>
      </c>
      <c r="D78" s="19" t="s">
        <v>48</v>
      </c>
      <c r="E78" s="20" t="s">
        <v>973</v>
      </c>
      <c r="F78" s="21" t="s">
        <v>980</v>
      </c>
      <c r="G78" s="19" t="s">
        <v>40</v>
      </c>
      <c r="H78" s="18" t="s">
        <v>50</v>
      </c>
      <c r="I78" s="20" t="s">
        <v>981</v>
      </c>
      <c r="J78" s="20"/>
    </row>
    <row r="79" spans="1:10" ht="15" customHeight="1" x14ac:dyDescent="0.35">
      <c r="A79" s="18">
        <v>72</v>
      </c>
      <c r="B79" s="60" t="s">
        <v>9</v>
      </c>
      <c r="C79" s="19" t="s">
        <v>428</v>
      </c>
      <c r="D79" s="19" t="s">
        <v>48</v>
      </c>
      <c r="E79" s="20"/>
      <c r="F79" s="21" t="s">
        <v>982</v>
      </c>
      <c r="G79" s="19" t="s">
        <v>36</v>
      </c>
      <c r="H79" s="18" t="s">
        <v>57</v>
      </c>
      <c r="I79" s="20" t="s">
        <v>983</v>
      </c>
      <c r="J79" s="20"/>
    </row>
    <row r="80" spans="1:10" ht="23.25" customHeight="1" x14ac:dyDescent="0.35">
      <c r="A80" s="18">
        <v>73</v>
      </c>
      <c r="B80" s="60" t="s">
        <v>9</v>
      </c>
      <c r="C80" s="19" t="s">
        <v>428</v>
      </c>
      <c r="D80" s="19" t="s">
        <v>48</v>
      </c>
      <c r="E80" s="20" t="s">
        <v>984</v>
      </c>
      <c r="F80" s="21" t="s">
        <v>985</v>
      </c>
      <c r="G80" s="19" t="s">
        <v>36</v>
      </c>
      <c r="H80" s="18" t="s">
        <v>50</v>
      </c>
      <c r="I80" s="20" t="s">
        <v>986</v>
      </c>
      <c r="J80" s="20"/>
    </row>
    <row r="81" spans="1:10" ht="23.25" customHeight="1" x14ac:dyDescent="0.35">
      <c r="A81" s="18">
        <v>74</v>
      </c>
      <c r="B81" s="60" t="s">
        <v>9</v>
      </c>
      <c r="C81" s="19" t="s">
        <v>428</v>
      </c>
      <c r="D81" s="19" t="s">
        <v>48</v>
      </c>
      <c r="E81" s="20" t="s">
        <v>984</v>
      </c>
      <c r="F81" s="21" t="s">
        <v>987</v>
      </c>
      <c r="G81" s="19" t="s">
        <v>36</v>
      </c>
      <c r="H81" s="18" t="s">
        <v>50</v>
      </c>
      <c r="I81" s="20" t="s">
        <v>988</v>
      </c>
      <c r="J81" s="20"/>
    </row>
    <row r="82" spans="1:10" ht="23.25" customHeight="1" x14ac:dyDescent="0.35">
      <c r="A82" s="18">
        <v>75</v>
      </c>
      <c r="B82" s="60" t="s">
        <v>9</v>
      </c>
      <c r="C82" s="19" t="s">
        <v>428</v>
      </c>
      <c r="D82" s="19" t="s">
        <v>48</v>
      </c>
      <c r="E82" s="20" t="s">
        <v>984</v>
      </c>
      <c r="F82" s="21" t="s">
        <v>989</v>
      </c>
      <c r="G82" s="19" t="s">
        <v>40</v>
      </c>
      <c r="H82" s="18" t="s">
        <v>50</v>
      </c>
      <c r="I82" s="20" t="s">
        <v>990</v>
      </c>
      <c r="J82" s="20"/>
    </row>
    <row r="83" spans="1:10" ht="23.25" customHeight="1" x14ac:dyDescent="0.35">
      <c r="A83" s="18">
        <v>76</v>
      </c>
      <c r="B83" s="60" t="s">
        <v>9</v>
      </c>
      <c r="C83" s="19" t="s">
        <v>428</v>
      </c>
      <c r="D83" s="19" t="s">
        <v>48</v>
      </c>
      <c r="E83" s="20" t="s">
        <v>984</v>
      </c>
      <c r="F83" s="21" t="s">
        <v>991</v>
      </c>
      <c r="G83" s="19" t="s">
        <v>40</v>
      </c>
      <c r="H83" s="18" t="s">
        <v>50</v>
      </c>
      <c r="I83" s="20" t="s">
        <v>992</v>
      </c>
      <c r="J83" s="20"/>
    </row>
    <row r="84" spans="1:10" ht="23.25" customHeight="1" x14ac:dyDescent="0.35">
      <c r="A84" s="18">
        <v>77</v>
      </c>
      <c r="B84" s="60" t="s">
        <v>9</v>
      </c>
      <c r="C84" s="19" t="s">
        <v>428</v>
      </c>
      <c r="D84" s="19" t="s">
        <v>48</v>
      </c>
      <c r="E84" s="20"/>
      <c r="F84" s="21" t="s">
        <v>993</v>
      </c>
      <c r="G84" s="19" t="s">
        <v>36</v>
      </c>
      <c r="H84" s="18" t="s">
        <v>50</v>
      </c>
      <c r="I84" s="20" t="s">
        <v>994</v>
      </c>
      <c r="J84" s="20"/>
    </row>
    <row r="85" spans="1:10" ht="34.5" customHeight="1" x14ac:dyDescent="0.35">
      <c r="A85" s="18">
        <v>78</v>
      </c>
      <c r="B85" s="60" t="s">
        <v>9</v>
      </c>
      <c r="C85" s="19" t="s">
        <v>428</v>
      </c>
      <c r="D85" s="19" t="s">
        <v>48</v>
      </c>
      <c r="E85" s="20"/>
      <c r="F85" s="21" t="s">
        <v>995</v>
      </c>
      <c r="G85" s="19" t="s">
        <v>56</v>
      </c>
      <c r="H85" s="18" t="s">
        <v>57</v>
      </c>
      <c r="I85" s="20" t="s">
        <v>996</v>
      </c>
      <c r="J85" s="20"/>
    </row>
    <row r="86" spans="1:10" ht="34.5" customHeight="1" x14ac:dyDescent="0.35">
      <c r="A86" s="18">
        <v>79</v>
      </c>
      <c r="B86" s="60" t="s">
        <v>9</v>
      </c>
      <c r="C86" s="19" t="s">
        <v>428</v>
      </c>
      <c r="D86" s="19" t="s">
        <v>48</v>
      </c>
      <c r="E86" s="20"/>
      <c r="F86" s="21" t="s">
        <v>997</v>
      </c>
      <c r="G86" s="19" t="s">
        <v>56</v>
      </c>
      <c r="H86" s="18" t="s">
        <v>57</v>
      </c>
      <c r="I86" s="20" t="s">
        <v>998</v>
      </c>
      <c r="J86" s="20"/>
    </row>
    <row r="87" spans="1:10" ht="23.25" customHeight="1" x14ac:dyDescent="0.35">
      <c r="A87" s="18">
        <v>80</v>
      </c>
      <c r="B87" s="60" t="s">
        <v>9</v>
      </c>
      <c r="C87" s="19" t="s">
        <v>428</v>
      </c>
      <c r="D87" s="19" t="s">
        <v>48</v>
      </c>
      <c r="E87" s="20"/>
      <c r="F87" s="21" t="s">
        <v>999</v>
      </c>
      <c r="G87" s="19" t="s">
        <v>56</v>
      </c>
      <c r="H87" s="18" t="s">
        <v>57</v>
      </c>
      <c r="I87" s="20" t="s">
        <v>1000</v>
      </c>
      <c r="J87" s="20"/>
    </row>
    <row r="88" spans="1:10" ht="23.25" customHeight="1" x14ac:dyDescent="0.35">
      <c r="A88" s="18">
        <v>81</v>
      </c>
      <c r="B88" s="60" t="s">
        <v>9</v>
      </c>
      <c r="C88" s="19" t="s">
        <v>428</v>
      </c>
      <c r="D88" s="19" t="s">
        <v>48</v>
      </c>
      <c r="E88" s="20"/>
      <c r="F88" s="21" t="s">
        <v>1001</v>
      </c>
      <c r="G88" s="19" t="s">
        <v>56</v>
      </c>
      <c r="H88" s="18" t="s">
        <v>57</v>
      </c>
      <c r="I88" s="20" t="s">
        <v>1002</v>
      </c>
      <c r="J88" s="20"/>
    </row>
    <row r="89" spans="1:10" ht="23.25" customHeight="1" x14ac:dyDescent="0.35">
      <c r="A89" s="18">
        <v>82</v>
      </c>
      <c r="B89" s="60" t="s">
        <v>9</v>
      </c>
      <c r="C89" s="19" t="s">
        <v>428</v>
      </c>
      <c r="D89" s="19" t="s">
        <v>48</v>
      </c>
      <c r="E89" s="20"/>
      <c r="F89" s="21" t="s">
        <v>1003</v>
      </c>
      <c r="G89" s="19" t="s">
        <v>56</v>
      </c>
      <c r="H89" s="18" t="s">
        <v>57</v>
      </c>
      <c r="I89" s="20" t="s">
        <v>1004</v>
      </c>
      <c r="J89" s="20"/>
    </row>
    <row r="90" spans="1:10" ht="34.5" customHeight="1" x14ac:dyDescent="0.35">
      <c r="A90" s="18">
        <v>83</v>
      </c>
      <c r="B90" s="60" t="s">
        <v>9</v>
      </c>
      <c r="C90" s="19" t="s">
        <v>428</v>
      </c>
      <c r="D90" s="19" t="s">
        <v>48</v>
      </c>
      <c r="E90" s="20"/>
      <c r="F90" s="21" t="s">
        <v>1005</v>
      </c>
      <c r="G90" s="19" t="s">
        <v>56</v>
      </c>
      <c r="H90" s="18" t="s">
        <v>57</v>
      </c>
      <c r="I90" s="20" t="s">
        <v>1006</v>
      </c>
      <c r="J90" s="20"/>
    </row>
    <row r="91" spans="1:10" ht="23.25" customHeight="1" x14ac:dyDescent="0.35">
      <c r="A91" s="18">
        <v>84</v>
      </c>
      <c r="B91" s="60" t="s">
        <v>9</v>
      </c>
      <c r="C91" s="19" t="s">
        <v>428</v>
      </c>
      <c r="D91" s="19" t="s">
        <v>48</v>
      </c>
      <c r="E91" s="20"/>
      <c r="F91" s="21" t="s">
        <v>1007</v>
      </c>
      <c r="G91" s="19" t="s">
        <v>56</v>
      </c>
      <c r="H91" s="18" t="s">
        <v>57</v>
      </c>
      <c r="I91" s="20" t="s">
        <v>1008</v>
      </c>
      <c r="J91" s="20"/>
    </row>
    <row r="92" spans="1:10" ht="34.5" customHeight="1" x14ac:dyDescent="0.35">
      <c r="A92" s="18">
        <v>85</v>
      </c>
      <c r="B92" s="60" t="s">
        <v>9</v>
      </c>
      <c r="C92" s="19" t="s">
        <v>428</v>
      </c>
      <c r="D92" s="19" t="s">
        <v>48</v>
      </c>
      <c r="E92" s="20"/>
      <c r="F92" s="21" t="s">
        <v>1009</v>
      </c>
      <c r="G92" s="19" t="s">
        <v>56</v>
      </c>
      <c r="H92" s="18" t="s">
        <v>57</v>
      </c>
      <c r="I92" s="20" t="s">
        <v>1010</v>
      </c>
      <c r="J92" s="20"/>
    </row>
    <row r="93" spans="1:10" ht="15" customHeight="1" x14ac:dyDescent="0.35">
      <c r="A93" s="18">
        <v>86</v>
      </c>
      <c r="B93" s="60" t="s">
        <v>9</v>
      </c>
      <c r="C93" s="19" t="s">
        <v>428</v>
      </c>
      <c r="D93" s="19" t="s">
        <v>48</v>
      </c>
      <c r="E93" s="20"/>
      <c r="F93" s="21" t="s">
        <v>1011</v>
      </c>
      <c r="G93" s="19" t="s">
        <v>40</v>
      </c>
      <c r="H93" s="18" t="s">
        <v>50</v>
      </c>
      <c r="I93" s="20" t="s">
        <v>1012</v>
      </c>
      <c r="J93" s="20"/>
    </row>
    <row r="94" spans="1:10" ht="23.25" customHeight="1" x14ac:dyDescent="0.35">
      <c r="A94" s="18">
        <v>87</v>
      </c>
      <c r="B94" s="60" t="s">
        <v>9</v>
      </c>
      <c r="C94" s="19" t="s">
        <v>428</v>
      </c>
      <c r="D94" s="19" t="s">
        <v>48</v>
      </c>
      <c r="E94" s="20"/>
      <c r="F94" s="21" t="s">
        <v>1013</v>
      </c>
      <c r="G94" s="19" t="s">
        <v>56</v>
      </c>
      <c r="H94" s="18" t="s">
        <v>57</v>
      </c>
      <c r="I94" s="20" t="s">
        <v>1014</v>
      </c>
      <c r="J94" s="20"/>
    </row>
    <row r="95" spans="1:10" ht="15" customHeight="1" x14ac:dyDescent="0.35">
      <c r="A95" s="18">
        <v>88</v>
      </c>
      <c r="B95" s="60" t="s">
        <v>9</v>
      </c>
      <c r="C95" s="19" t="s">
        <v>428</v>
      </c>
      <c r="D95" s="19" t="s">
        <v>48</v>
      </c>
      <c r="E95" s="20" t="s">
        <v>1015</v>
      </c>
      <c r="F95" s="21" t="s">
        <v>1016</v>
      </c>
      <c r="G95" s="19" t="s">
        <v>36</v>
      </c>
      <c r="H95" s="18" t="s">
        <v>37</v>
      </c>
      <c r="I95" s="20" t="s">
        <v>1017</v>
      </c>
      <c r="J95" s="20"/>
    </row>
    <row r="96" spans="1:10" ht="15" customHeight="1" x14ac:dyDescent="0.35">
      <c r="A96" s="18">
        <v>89</v>
      </c>
      <c r="B96" s="60" t="s">
        <v>9</v>
      </c>
      <c r="C96" s="19" t="s">
        <v>428</v>
      </c>
      <c r="D96" s="19" t="s">
        <v>48</v>
      </c>
      <c r="E96" s="20" t="s">
        <v>1015</v>
      </c>
      <c r="F96" s="21" t="s">
        <v>1018</v>
      </c>
      <c r="G96" s="19" t="s">
        <v>36</v>
      </c>
      <c r="H96" s="18" t="s">
        <v>37</v>
      </c>
      <c r="I96" s="20" t="s">
        <v>1019</v>
      </c>
      <c r="J96" s="20"/>
    </row>
    <row r="97" spans="1:10" ht="15" customHeight="1" x14ac:dyDescent="0.35">
      <c r="A97" s="18">
        <v>90</v>
      </c>
      <c r="B97" s="60" t="s">
        <v>9</v>
      </c>
      <c r="C97" s="19" t="s">
        <v>428</v>
      </c>
      <c r="D97" s="19" t="s">
        <v>48</v>
      </c>
      <c r="E97" s="20" t="s">
        <v>1015</v>
      </c>
      <c r="F97" s="21" t="s">
        <v>1020</v>
      </c>
      <c r="G97" s="19" t="s">
        <v>40</v>
      </c>
      <c r="H97" s="18" t="s">
        <v>37</v>
      </c>
      <c r="I97" s="20" t="s">
        <v>1021</v>
      </c>
      <c r="J97" s="20"/>
    </row>
    <row r="98" spans="1:10" ht="15" customHeight="1" x14ac:dyDescent="0.35">
      <c r="A98" s="18">
        <v>91</v>
      </c>
      <c r="B98" s="60" t="s">
        <v>9</v>
      </c>
      <c r="C98" s="19" t="s">
        <v>428</v>
      </c>
      <c r="D98" s="19" t="s">
        <v>48</v>
      </c>
      <c r="E98" s="20" t="s">
        <v>1015</v>
      </c>
      <c r="F98" s="21" t="s">
        <v>1022</v>
      </c>
      <c r="G98" s="19" t="s">
        <v>40</v>
      </c>
      <c r="H98" s="18" t="s">
        <v>37</v>
      </c>
      <c r="I98" s="20" t="s">
        <v>1023</v>
      </c>
      <c r="J98" s="20"/>
    </row>
    <row r="99" spans="1:10" ht="15" customHeight="1" x14ac:dyDescent="0.35">
      <c r="A99" s="18">
        <v>92</v>
      </c>
      <c r="B99" s="60" t="s">
        <v>9</v>
      </c>
      <c r="C99" s="19" t="s">
        <v>428</v>
      </c>
      <c r="D99" s="19" t="s">
        <v>48</v>
      </c>
      <c r="E99" s="20" t="s">
        <v>1024</v>
      </c>
      <c r="F99" s="21" t="s">
        <v>1025</v>
      </c>
      <c r="G99" s="19" t="s">
        <v>36</v>
      </c>
      <c r="H99" s="18" t="s">
        <v>37</v>
      </c>
      <c r="I99" s="20" t="s">
        <v>1026</v>
      </c>
      <c r="J99" s="20"/>
    </row>
    <row r="100" spans="1:10" ht="15" customHeight="1" x14ac:dyDescent="0.35">
      <c r="A100" s="18">
        <v>93</v>
      </c>
      <c r="B100" s="60" t="s">
        <v>9</v>
      </c>
      <c r="C100" s="19" t="s">
        <v>428</v>
      </c>
      <c r="D100" s="19" t="s">
        <v>48</v>
      </c>
      <c r="E100" s="20" t="s">
        <v>1024</v>
      </c>
      <c r="F100" s="21" t="s">
        <v>1027</v>
      </c>
      <c r="G100" s="19" t="s">
        <v>36</v>
      </c>
      <c r="H100" s="18" t="s">
        <v>37</v>
      </c>
      <c r="I100" s="20" t="s">
        <v>1028</v>
      </c>
      <c r="J100" s="20"/>
    </row>
    <row r="101" spans="1:10" ht="15" customHeight="1" x14ac:dyDescent="0.35">
      <c r="A101" s="18">
        <v>94</v>
      </c>
      <c r="B101" s="60" t="s">
        <v>9</v>
      </c>
      <c r="C101" s="19" t="s">
        <v>428</v>
      </c>
      <c r="D101" s="19" t="s">
        <v>48</v>
      </c>
      <c r="E101" s="20" t="s">
        <v>1024</v>
      </c>
      <c r="F101" s="21" t="s">
        <v>1029</v>
      </c>
      <c r="G101" s="19" t="s">
        <v>40</v>
      </c>
      <c r="H101" s="18" t="s">
        <v>37</v>
      </c>
      <c r="I101" s="20" t="s">
        <v>1030</v>
      </c>
      <c r="J101" s="20"/>
    </row>
    <row r="102" spans="1:10" ht="15" customHeight="1" x14ac:dyDescent="0.35">
      <c r="A102" s="18">
        <v>95</v>
      </c>
      <c r="B102" s="60" t="s">
        <v>9</v>
      </c>
      <c r="C102" s="19" t="s">
        <v>428</v>
      </c>
      <c r="D102" s="19" t="s">
        <v>48</v>
      </c>
      <c r="E102" s="20" t="s">
        <v>1024</v>
      </c>
      <c r="F102" s="21" t="s">
        <v>1031</v>
      </c>
      <c r="G102" s="19" t="s">
        <v>40</v>
      </c>
      <c r="H102" s="18" t="s">
        <v>37</v>
      </c>
      <c r="I102" s="20" t="s">
        <v>1032</v>
      </c>
      <c r="J102" s="20"/>
    </row>
    <row r="103" spans="1:10" ht="15" customHeight="1" x14ac:dyDescent="0.35">
      <c r="A103" s="18">
        <v>96</v>
      </c>
      <c r="B103" s="60" t="s">
        <v>9</v>
      </c>
      <c r="C103" s="19" t="s">
        <v>428</v>
      </c>
      <c r="D103" s="19" t="s">
        <v>48</v>
      </c>
      <c r="E103" s="20"/>
      <c r="F103" s="21" t="s">
        <v>1033</v>
      </c>
      <c r="G103" s="19" t="s">
        <v>1034</v>
      </c>
      <c r="H103" s="18" t="s">
        <v>57</v>
      </c>
      <c r="I103" s="20" t="s">
        <v>1035</v>
      </c>
      <c r="J103" s="20"/>
    </row>
    <row r="104" spans="1:10" ht="15" customHeight="1" x14ac:dyDescent="0.35">
      <c r="A104" s="18">
        <v>97</v>
      </c>
      <c r="B104" s="60" t="s">
        <v>9</v>
      </c>
      <c r="C104" s="19" t="s">
        <v>428</v>
      </c>
      <c r="D104" s="19" t="s">
        <v>48</v>
      </c>
      <c r="E104" s="20"/>
      <c r="F104" s="21" t="s">
        <v>1036</v>
      </c>
      <c r="G104" s="19" t="s">
        <v>1034</v>
      </c>
      <c r="H104" s="18" t="s">
        <v>57</v>
      </c>
      <c r="I104" s="20" t="s">
        <v>1037</v>
      </c>
      <c r="J104" s="20"/>
    </row>
    <row r="105" spans="1:10" ht="15" customHeight="1" x14ac:dyDescent="0.35">
      <c r="A105" s="18">
        <v>98</v>
      </c>
      <c r="B105" s="60" t="s">
        <v>9</v>
      </c>
      <c r="C105" s="19" t="s">
        <v>428</v>
      </c>
      <c r="D105" s="19" t="s">
        <v>48</v>
      </c>
      <c r="E105" s="20"/>
      <c r="F105" s="21" t="s">
        <v>1038</v>
      </c>
      <c r="G105" s="19" t="s">
        <v>1039</v>
      </c>
      <c r="H105" s="18" t="s">
        <v>57</v>
      </c>
      <c r="I105" s="20" t="s">
        <v>1040</v>
      </c>
      <c r="J105" s="20"/>
    </row>
    <row r="106" spans="1:10" ht="15" customHeight="1" x14ac:dyDescent="0.35">
      <c r="A106" s="18">
        <v>99</v>
      </c>
      <c r="B106" s="60" t="s">
        <v>9</v>
      </c>
      <c r="C106" s="19" t="s">
        <v>428</v>
      </c>
      <c r="D106" s="19" t="s">
        <v>48</v>
      </c>
      <c r="E106" s="20" t="s">
        <v>1041</v>
      </c>
      <c r="F106" s="21" t="s">
        <v>1042</v>
      </c>
      <c r="G106" s="19" t="s">
        <v>36</v>
      </c>
      <c r="H106" s="18" t="s">
        <v>37</v>
      </c>
      <c r="I106" s="20" t="s">
        <v>1043</v>
      </c>
      <c r="J106" s="20"/>
    </row>
    <row r="107" spans="1:10" ht="15" customHeight="1" x14ac:dyDescent="0.35">
      <c r="A107" s="18">
        <v>100</v>
      </c>
      <c r="B107" s="60" t="s">
        <v>9</v>
      </c>
      <c r="C107" s="19" t="s">
        <v>428</v>
      </c>
      <c r="D107" s="19" t="s">
        <v>48</v>
      </c>
      <c r="E107" s="20" t="s">
        <v>1041</v>
      </c>
      <c r="F107" s="21" t="s">
        <v>877</v>
      </c>
      <c r="G107" s="19" t="s">
        <v>36</v>
      </c>
      <c r="H107" s="18" t="s">
        <v>37</v>
      </c>
      <c r="I107" s="20" t="s">
        <v>1044</v>
      </c>
      <c r="J107" s="20"/>
    </row>
    <row r="108" spans="1:10" ht="15" customHeight="1" x14ac:dyDescent="0.35">
      <c r="A108" s="18">
        <v>101</v>
      </c>
      <c r="B108" s="60" t="s">
        <v>9</v>
      </c>
      <c r="C108" s="19" t="s">
        <v>428</v>
      </c>
      <c r="D108" s="19" t="s">
        <v>48</v>
      </c>
      <c r="E108" s="20" t="s">
        <v>1041</v>
      </c>
      <c r="F108" s="21" t="s">
        <v>1045</v>
      </c>
      <c r="G108" s="19" t="s">
        <v>40</v>
      </c>
      <c r="H108" s="18" t="s">
        <v>37</v>
      </c>
      <c r="I108" s="20" t="s">
        <v>1046</v>
      </c>
      <c r="J108" s="20"/>
    </row>
    <row r="109" spans="1:10" ht="15" customHeight="1" x14ac:dyDescent="0.35">
      <c r="A109" s="18">
        <v>102</v>
      </c>
      <c r="B109" s="60" t="s">
        <v>9</v>
      </c>
      <c r="C109" s="19" t="s">
        <v>428</v>
      </c>
      <c r="D109" s="19" t="s">
        <v>48</v>
      </c>
      <c r="E109" s="20" t="s">
        <v>1041</v>
      </c>
      <c r="F109" s="21" t="s">
        <v>1047</v>
      </c>
      <c r="G109" s="19" t="s">
        <v>40</v>
      </c>
      <c r="H109" s="18" t="s">
        <v>37</v>
      </c>
      <c r="I109" s="20" t="s">
        <v>1048</v>
      </c>
      <c r="J109" s="20"/>
    </row>
    <row r="110" spans="1:10" ht="15" customHeight="1" x14ac:dyDescent="0.35">
      <c r="A110" s="18">
        <v>103</v>
      </c>
      <c r="B110" s="60" t="s">
        <v>9</v>
      </c>
      <c r="C110" s="19" t="s">
        <v>428</v>
      </c>
      <c r="D110" s="19" t="s">
        <v>48</v>
      </c>
      <c r="E110" s="20" t="s">
        <v>1041</v>
      </c>
      <c r="F110" s="21" t="s">
        <v>1049</v>
      </c>
      <c r="G110" s="19" t="s">
        <v>40</v>
      </c>
      <c r="H110" s="18" t="s">
        <v>37</v>
      </c>
      <c r="I110" s="20" t="s">
        <v>1050</v>
      </c>
      <c r="J110" s="20"/>
    </row>
    <row r="111" spans="1:10" ht="15" customHeight="1" x14ac:dyDescent="0.35">
      <c r="A111" s="18">
        <v>104</v>
      </c>
      <c r="B111" s="60" t="s">
        <v>9</v>
      </c>
      <c r="C111" s="19" t="s">
        <v>428</v>
      </c>
      <c r="D111" s="19" t="s">
        <v>48</v>
      </c>
      <c r="E111" s="20" t="s">
        <v>1041</v>
      </c>
      <c r="F111" s="21" t="s">
        <v>881</v>
      </c>
      <c r="G111" s="19" t="s">
        <v>40</v>
      </c>
      <c r="H111" s="18" t="s">
        <v>37</v>
      </c>
      <c r="I111" s="20" t="s">
        <v>1051</v>
      </c>
      <c r="J111" s="20"/>
    </row>
    <row r="112" spans="1:10" ht="15" customHeight="1" x14ac:dyDescent="0.35">
      <c r="A112" s="18">
        <v>105</v>
      </c>
      <c r="B112" s="60" t="s">
        <v>9</v>
      </c>
      <c r="C112" s="19" t="s">
        <v>428</v>
      </c>
      <c r="D112" s="19" t="s">
        <v>48</v>
      </c>
      <c r="E112" s="20" t="s">
        <v>1052</v>
      </c>
      <c r="F112" s="21" t="s">
        <v>1053</v>
      </c>
      <c r="G112" s="19" t="s">
        <v>36</v>
      </c>
      <c r="H112" s="18" t="s">
        <v>37</v>
      </c>
      <c r="I112" s="20" t="s">
        <v>1054</v>
      </c>
      <c r="J112" s="20"/>
    </row>
    <row r="113" spans="1:10" ht="15" customHeight="1" x14ac:dyDescent="0.35">
      <c r="A113" s="18">
        <v>106</v>
      </c>
      <c r="B113" s="60" t="s">
        <v>9</v>
      </c>
      <c r="C113" s="19" t="s">
        <v>428</v>
      </c>
      <c r="D113" s="19" t="s">
        <v>48</v>
      </c>
      <c r="E113" s="20" t="s">
        <v>1052</v>
      </c>
      <c r="F113" s="21" t="s">
        <v>1055</v>
      </c>
      <c r="G113" s="19" t="s">
        <v>36</v>
      </c>
      <c r="H113" s="18" t="s">
        <v>37</v>
      </c>
      <c r="I113" s="20" t="s">
        <v>1056</v>
      </c>
      <c r="J113" s="20"/>
    </row>
    <row r="114" spans="1:10" ht="15" customHeight="1" x14ac:dyDescent="0.35">
      <c r="A114" s="18">
        <v>107</v>
      </c>
      <c r="B114" s="60" t="s">
        <v>9</v>
      </c>
      <c r="C114" s="19" t="s">
        <v>428</v>
      </c>
      <c r="D114" s="19" t="s">
        <v>48</v>
      </c>
      <c r="E114" s="20" t="s">
        <v>1052</v>
      </c>
      <c r="F114" s="21" t="s">
        <v>1057</v>
      </c>
      <c r="G114" s="19" t="s">
        <v>40</v>
      </c>
      <c r="H114" s="18" t="s">
        <v>37</v>
      </c>
      <c r="I114" s="20" t="s">
        <v>1058</v>
      </c>
      <c r="J114" s="20"/>
    </row>
    <row r="115" spans="1:10" ht="15" customHeight="1" x14ac:dyDescent="0.35">
      <c r="A115" s="18">
        <v>108</v>
      </c>
      <c r="B115" s="60" t="s">
        <v>9</v>
      </c>
      <c r="C115" s="19" t="s">
        <v>428</v>
      </c>
      <c r="D115" s="19" t="s">
        <v>48</v>
      </c>
      <c r="E115" s="20" t="s">
        <v>1052</v>
      </c>
      <c r="F115" s="21" t="s">
        <v>1059</v>
      </c>
      <c r="G115" s="19" t="s">
        <v>40</v>
      </c>
      <c r="H115" s="18" t="s">
        <v>37</v>
      </c>
      <c r="I115" s="20" t="s">
        <v>1060</v>
      </c>
      <c r="J115" s="20"/>
    </row>
    <row r="116" spans="1:10" ht="15" customHeight="1" x14ac:dyDescent="0.35">
      <c r="A116" s="18">
        <v>109</v>
      </c>
      <c r="B116" s="60" t="s">
        <v>9</v>
      </c>
      <c r="C116" s="19" t="s">
        <v>428</v>
      </c>
      <c r="D116" s="19" t="s">
        <v>48</v>
      </c>
      <c r="E116" s="20" t="s">
        <v>1061</v>
      </c>
      <c r="F116" s="21" t="s">
        <v>1062</v>
      </c>
      <c r="G116" s="19" t="s">
        <v>36</v>
      </c>
      <c r="H116" s="18" t="s">
        <v>37</v>
      </c>
      <c r="I116" s="20" t="s">
        <v>1054</v>
      </c>
      <c r="J116" s="20"/>
    </row>
    <row r="117" spans="1:10" ht="15" customHeight="1" x14ac:dyDescent="0.35">
      <c r="A117" s="18">
        <v>110</v>
      </c>
      <c r="B117" s="60" t="s">
        <v>9</v>
      </c>
      <c r="C117" s="19" t="s">
        <v>428</v>
      </c>
      <c r="D117" s="19" t="s">
        <v>48</v>
      </c>
      <c r="E117" s="20" t="s">
        <v>1061</v>
      </c>
      <c r="F117" s="21" t="s">
        <v>1063</v>
      </c>
      <c r="G117" s="19" t="s">
        <v>36</v>
      </c>
      <c r="H117" s="18" t="s">
        <v>37</v>
      </c>
      <c r="I117" s="20" t="s">
        <v>1056</v>
      </c>
      <c r="J117" s="20"/>
    </row>
    <row r="118" spans="1:10" ht="15" customHeight="1" x14ac:dyDescent="0.35">
      <c r="A118" s="18">
        <v>111</v>
      </c>
      <c r="B118" s="60" t="s">
        <v>9</v>
      </c>
      <c r="C118" s="19" t="s">
        <v>428</v>
      </c>
      <c r="D118" s="19" t="s">
        <v>48</v>
      </c>
      <c r="E118" s="20" t="s">
        <v>1061</v>
      </c>
      <c r="F118" s="21" t="s">
        <v>1064</v>
      </c>
      <c r="G118" s="19" t="s">
        <v>40</v>
      </c>
      <c r="H118" s="18" t="s">
        <v>37</v>
      </c>
      <c r="I118" s="20" t="s">
        <v>1058</v>
      </c>
      <c r="J118" s="20"/>
    </row>
    <row r="119" spans="1:10" ht="15" customHeight="1" x14ac:dyDescent="0.35">
      <c r="A119" s="18">
        <v>112</v>
      </c>
      <c r="B119" s="60" t="s">
        <v>9</v>
      </c>
      <c r="C119" s="19" t="s">
        <v>428</v>
      </c>
      <c r="D119" s="19" t="s">
        <v>48</v>
      </c>
      <c r="E119" s="20" t="s">
        <v>1061</v>
      </c>
      <c r="F119" s="21" t="s">
        <v>1065</v>
      </c>
      <c r="G119" s="19" t="s">
        <v>40</v>
      </c>
      <c r="H119" s="18" t="s">
        <v>37</v>
      </c>
      <c r="I119" s="20" t="s">
        <v>1060</v>
      </c>
      <c r="J119" s="20"/>
    </row>
    <row r="120" spans="1:10" ht="15" customHeight="1" x14ac:dyDescent="0.35">
      <c r="A120" s="18">
        <v>113</v>
      </c>
      <c r="B120" s="60" t="s">
        <v>9</v>
      </c>
      <c r="C120" s="19" t="s">
        <v>428</v>
      </c>
      <c r="D120" s="19" t="s">
        <v>48</v>
      </c>
      <c r="E120" s="20" t="s">
        <v>1066</v>
      </c>
      <c r="F120" s="21" t="s">
        <v>1067</v>
      </c>
      <c r="G120" s="19" t="s">
        <v>36</v>
      </c>
      <c r="H120" s="18" t="s">
        <v>37</v>
      </c>
      <c r="I120" s="20" t="s">
        <v>1054</v>
      </c>
      <c r="J120" s="20"/>
    </row>
    <row r="121" spans="1:10" ht="15" customHeight="1" x14ac:dyDescent="0.35">
      <c r="A121" s="18">
        <v>114</v>
      </c>
      <c r="B121" s="60" t="s">
        <v>9</v>
      </c>
      <c r="C121" s="19" t="s">
        <v>428</v>
      </c>
      <c r="D121" s="19" t="s">
        <v>48</v>
      </c>
      <c r="E121" s="20" t="s">
        <v>1066</v>
      </c>
      <c r="F121" s="21" t="s">
        <v>1068</v>
      </c>
      <c r="G121" s="19" t="s">
        <v>36</v>
      </c>
      <c r="H121" s="18" t="s">
        <v>37</v>
      </c>
      <c r="I121" s="20" t="s">
        <v>1056</v>
      </c>
      <c r="J121" s="20"/>
    </row>
    <row r="122" spans="1:10" ht="15" customHeight="1" x14ac:dyDescent="0.35">
      <c r="A122" s="18">
        <v>115</v>
      </c>
      <c r="B122" s="60" t="s">
        <v>9</v>
      </c>
      <c r="C122" s="19" t="s">
        <v>428</v>
      </c>
      <c r="D122" s="19" t="s">
        <v>48</v>
      </c>
      <c r="E122" s="20" t="s">
        <v>1066</v>
      </c>
      <c r="F122" s="21" t="s">
        <v>1069</v>
      </c>
      <c r="G122" s="19" t="s">
        <v>40</v>
      </c>
      <c r="H122" s="18" t="s">
        <v>37</v>
      </c>
      <c r="I122" s="20" t="s">
        <v>1058</v>
      </c>
      <c r="J122" s="20"/>
    </row>
    <row r="123" spans="1:10" ht="15" customHeight="1" x14ac:dyDescent="0.35">
      <c r="A123" s="18">
        <v>116</v>
      </c>
      <c r="B123" s="60" t="s">
        <v>9</v>
      </c>
      <c r="C123" s="19" t="s">
        <v>428</v>
      </c>
      <c r="D123" s="19" t="s">
        <v>48</v>
      </c>
      <c r="E123" s="20" t="s">
        <v>1066</v>
      </c>
      <c r="F123" s="21" t="s">
        <v>1070</v>
      </c>
      <c r="G123" s="19" t="s">
        <v>40</v>
      </c>
      <c r="H123" s="18" t="s">
        <v>37</v>
      </c>
      <c r="I123" s="20" t="s">
        <v>1060</v>
      </c>
      <c r="J123" s="20"/>
    </row>
    <row r="124" spans="1:10" ht="15" customHeight="1" x14ac:dyDescent="0.35">
      <c r="A124" s="18">
        <v>117</v>
      </c>
      <c r="B124" s="60" t="s">
        <v>9</v>
      </c>
      <c r="C124" s="19" t="s">
        <v>428</v>
      </c>
      <c r="D124" s="19" t="s">
        <v>48</v>
      </c>
      <c r="E124" s="20" t="s">
        <v>1071</v>
      </c>
      <c r="F124" s="21" t="s">
        <v>1072</v>
      </c>
      <c r="G124" s="19" t="s">
        <v>36</v>
      </c>
      <c r="H124" s="18" t="s">
        <v>37</v>
      </c>
      <c r="I124" s="20" t="s">
        <v>1054</v>
      </c>
      <c r="J124" s="20"/>
    </row>
    <row r="125" spans="1:10" ht="15" customHeight="1" x14ac:dyDescent="0.35">
      <c r="A125" s="18">
        <v>118</v>
      </c>
      <c r="B125" s="60" t="s">
        <v>9</v>
      </c>
      <c r="C125" s="19" t="s">
        <v>428</v>
      </c>
      <c r="D125" s="19" t="s">
        <v>48</v>
      </c>
      <c r="E125" s="20" t="s">
        <v>1071</v>
      </c>
      <c r="F125" s="21" t="s">
        <v>1073</v>
      </c>
      <c r="G125" s="19" t="s">
        <v>36</v>
      </c>
      <c r="H125" s="18" t="s">
        <v>37</v>
      </c>
      <c r="I125" s="20" t="s">
        <v>1056</v>
      </c>
      <c r="J125" s="20"/>
    </row>
    <row r="126" spans="1:10" ht="15" customHeight="1" x14ac:dyDescent="0.35">
      <c r="A126" s="18">
        <v>119</v>
      </c>
      <c r="B126" s="60" t="s">
        <v>9</v>
      </c>
      <c r="C126" s="19" t="s">
        <v>428</v>
      </c>
      <c r="D126" s="19" t="s">
        <v>48</v>
      </c>
      <c r="E126" s="20" t="s">
        <v>1071</v>
      </c>
      <c r="F126" s="21" t="s">
        <v>1074</v>
      </c>
      <c r="G126" s="19" t="s">
        <v>40</v>
      </c>
      <c r="H126" s="18" t="s">
        <v>37</v>
      </c>
      <c r="I126" s="20" t="s">
        <v>1058</v>
      </c>
      <c r="J126" s="20"/>
    </row>
    <row r="127" spans="1:10" ht="15" customHeight="1" x14ac:dyDescent="0.35">
      <c r="A127" s="18">
        <v>120</v>
      </c>
      <c r="B127" s="60" t="s">
        <v>9</v>
      </c>
      <c r="C127" s="19" t="s">
        <v>428</v>
      </c>
      <c r="D127" s="19" t="s">
        <v>48</v>
      </c>
      <c r="E127" s="20" t="s">
        <v>1071</v>
      </c>
      <c r="F127" s="21" t="s">
        <v>1075</v>
      </c>
      <c r="G127" s="19" t="s">
        <v>40</v>
      </c>
      <c r="H127" s="18" t="s">
        <v>37</v>
      </c>
      <c r="I127" s="20" t="s">
        <v>1060</v>
      </c>
      <c r="J127" s="20"/>
    </row>
    <row r="128" spans="1:10" ht="15" customHeight="1" x14ac:dyDescent="0.35">
      <c r="A128" s="18">
        <v>121</v>
      </c>
      <c r="B128" s="60" t="s">
        <v>9</v>
      </c>
      <c r="C128" s="19" t="s">
        <v>428</v>
      </c>
      <c r="D128" s="19" t="s">
        <v>48</v>
      </c>
      <c r="E128" s="20" t="s">
        <v>1076</v>
      </c>
      <c r="F128" s="21" t="s">
        <v>1077</v>
      </c>
      <c r="G128" s="19" t="s">
        <v>36</v>
      </c>
      <c r="H128" s="18" t="s">
        <v>37</v>
      </c>
      <c r="I128" s="20" t="s">
        <v>1054</v>
      </c>
      <c r="J128" s="20"/>
    </row>
    <row r="129" spans="1:10" ht="15" customHeight="1" x14ac:dyDescent="0.35">
      <c r="A129" s="18">
        <v>122</v>
      </c>
      <c r="B129" s="60" t="s">
        <v>9</v>
      </c>
      <c r="C129" s="19" t="s">
        <v>428</v>
      </c>
      <c r="D129" s="19" t="s">
        <v>48</v>
      </c>
      <c r="E129" s="20" t="s">
        <v>1076</v>
      </c>
      <c r="F129" s="21" t="s">
        <v>1078</v>
      </c>
      <c r="G129" s="19" t="s">
        <v>36</v>
      </c>
      <c r="H129" s="18" t="s">
        <v>37</v>
      </c>
      <c r="I129" s="20" t="s">
        <v>1056</v>
      </c>
      <c r="J129" s="20"/>
    </row>
    <row r="130" spans="1:10" ht="15" customHeight="1" x14ac:dyDescent="0.35">
      <c r="A130" s="18">
        <v>123</v>
      </c>
      <c r="B130" s="60" t="s">
        <v>9</v>
      </c>
      <c r="C130" s="19" t="s">
        <v>428</v>
      </c>
      <c r="D130" s="19" t="s">
        <v>48</v>
      </c>
      <c r="E130" s="20" t="s">
        <v>1076</v>
      </c>
      <c r="F130" s="21" t="s">
        <v>1079</v>
      </c>
      <c r="G130" s="19" t="s">
        <v>40</v>
      </c>
      <c r="H130" s="18" t="s">
        <v>37</v>
      </c>
      <c r="I130" s="20" t="s">
        <v>1058</v>
      </c>
      <c r="J130" s="20"/>
    </row>
    <row r="131" spans="1:10" ht="15" customHeight="1" x14ac:dyDescent="0.35">
      <c r="A131" s="18">
        <v>124</v>
      </c>
      <c r="B131" s="60" t="s">
        <v>9</v>
      </c>
      <c r="C131" s="19" t="s">
        <v>428</v>
      </c>
      <c r="D131" s="19" t="s">
        <v>48</v>
      </c>
      <c r="E131" s="20" t="s">
        <v>1076</v>
      </c>
      <c r="F131" s="21" t="s">
        <v>1080</v>
      </c>
      <c r="G131" s="19" t="s">
        <v>40</v>
      </c>
      <c r="H131" s="18" t="s">
        <v>37</v>
      </c>
      <c r="I131" s="20" t="s">
        <v>1060</v>
      </c>
      <c r="J131" s="20"/>
    </row>
    <row r="132" spans="1:10" ht="15" customHeight="1" x14ac:dyDescent="0.35">
      <c r="A132" s="18">
        <v>125</v>
      </c>
      <c r="B132" s="60" t="s">
        <v>9</v>
      </c>
      <c r="C132" s="19" t="s">
        <v>428</v>
      </c>
      <c r="D132" s="19" t="s">
        <v>48</v>
      </c>
      <c r="E132" s="20"/>
      <c r="F132" s="21" t="s">
        <v>1081</v>
      </c>
      <c r="G132" s="19" t="s">
        <v>1082</v>
      </c>
      <c r="H132" s="18" t="s">
        <v>50</v>
      </c>
      <c r="I132" s="20" t="s">
        <v>1083</v>
      </c>
      <c r="J132" s="20"/>
    </row>
    <row r="133" spans="1:10" ht="23.25" customHeight="1" x14ac:dyDescent="0.35">
      <c r="A133" s="18">
        <v>126</v>
      </c>
      <c r="B133" s="60" t="s">
        <v>9</v>
      </c>
      <c r="C133" s="19" t="s">
        <v>428</v>
      </c>
      <c r="D133" s="19" t="s">
        <v>48</v>
      </c>
      <c r="E133" s="20"/>
      <c r="F133" s="21" t="s">
        <v>1084</v>
      </c>
      <c r="G133" s="19" t="s">
        <v>56</v>
      </c>
      <c r="H133" s="18" t="s">
        <v>57</v>
      </c>
      <c r="I133" s="20" t="s">
        <v>1085</v>
      </c>
      <c r="J133" s="20"/>
    </row>
    <row r="134" spans="1:10" ht="15" customHeight="1" x14ac:dyDescent="0.35">
      <c r="A134" s="18">
        <v>127</v>
      </c>
      <c r="B134" s="60" t="s">
        <v>9</v>
      </c>
      <c r="C134" s="19" t="s">
        <v>428</v>
      </c>
      <c r="D134" s="19" t="s">
        <v>48</v>
      </c>
      <c r="E134" s="20"/>
      <c r="F134" s="21" t="s">
        <v>1086</v>
      </c>
      <c r="G134" s="19" t="s">
        <v>1039</v>
      </c>
      <c r="H134" s="18" t="s">
        <v>57</v>
      </c>
      <c r="I134" s="20" t="s">
        <v>1087</v>
      </c>
      <c r="J134" s="20"/>
    </row>
    <row r="135" spans="1:10" ht="15" customHeight="1" x14ac:dyDescent="0.35">
      <c r="A135" s="18">
        <v>128</v>
      </c>
      <c r="B135" s="60" t="s">
        <v>9</v>
      </c>
      <c r="C135" s="19" t="s">
        <v>428</v>
      </c>
      <c r="D135" s="19" t="s">
        <v>48</v>
      </c>
      <c r="E135" s="20"/>
      <c r="F135" s="21" t="s">
        <v>1088</v>
      </c>
      <c r="G135" s="19" t="s">
        <v>1039</v>
      </c>
      <c r="H135" s="18" t="s">
        <v>57</v>
      </c>
      <c r="I135" s="20" t="s">
        <v>1089</v>
      </c>
      <c r="J135" s="20"/>
    </row>
    <row r="136" spans="1:10" ht="57" customHeight="1" x14ac:dyDescent="0.35">
      <c r="A136" s="18">
        <v>129</v>
      </c>
      <c r="B136" s="60" t="s">
        <v>9</v>
      </c>
      <c r="C136" s="19" t="s">
        <v>428</v>
      </c>
      <c r="D136" s="19" t="s">
        <v>48</v>
      </c>
      <c r="E136" s="20"/>
      <c r="F136" s="21" t="s">
        <v>1090</v>
      </c>
      <c r="G136" s="19" t="s">
        <v>289</v>
      </c>
      <c r="H136" s="18" t="s">
        <v>50</v>
      </c>
      <c r="I136" s="20" t="s">
        <v>1091</v>
      </c>
      <c r="J136" s="20"/>
    </row>
    <row r="137" spans="1:10" ht="23.25" customHeight="1" x14ac:dyDescent="0.35">
      <c r="A137" s="18">
        <v>130</v>
      </c>
      <c r="B137" s="60" t="s">
        <v>9</v>
      </c>
      <c r="C137" s="19" t="s">
        <v>428</v>
      </c>
      <c r="D137" s="19" t="s">
        <v>48</v>
      </c>
      <c r="E137" s="20"/>
      <c r="F137" s="21" t="s">
        <v>1092</v>
      </c>
      <c r="G137" s="19" t="s">
        <v>36</v>
      </c>
      <c r="H137" s="18" t="s">
        <v>50</v>
      </c>
      <c r="I137" s="20" t="s">
        <v>1093</v>
      </c>
      <c r="J137" s="20"/>
    </row>
    <row r="138" spans="1:10" ht="15" customHeight="1" x14ac:dyDescent="0.35">
      <c r="A138" s="4" t="s">
        <v>473</v>
      </c>
      <c r="B138" s="4"/>
      <c r="C138" s="4"/>
      <c r="D138" s="4"/>
      <c r="E138" s="4"/>
      <c r="F138" s="4"/>
      <c r="G138" s="4"/>
      <c r="H138" s="4"/>
      <c r="I138" s="4"/>
      <c r="J138" s="4"/>
    </row>
    <row r="139" spans="1:10" ht="15" customHeight="1" x14ac:dyDescent="0.35">
      <c r="A139" s="18">
        <v>131</v>
      </c>
      <c r="B139" s="60" t="s">
        <v>9</v>
      </c>
      <c r="C139" s="19" t="s">
        <v>473</v>
      </c>
      <c r="D139" s="19" t="s">
        <v>34</v>
      </c>
      <c r="E139" s="20" t="s">
        <v>474</v>
      </c>
      <c r="F139" s="21" t="s">
        <v>915</v>
      </c>
      <c r="G139" s="19" t="s">
        <v>40</v>
      </c>
      <c r="H139" s="18" t="s">
        <v>37</v>
      </c>
      <c r="I139" s="20" t="s">
        <v>916</v>
      </c>
      <c r="J139" s="20"/>
    </row>
    <row r="140" spans="1:10" ht="15" customHeight="1" x14ac:dyDescent="0.35">
      <c r="A140" s="18">
        <v>132</v>
      </c>
      <c r="B140" s="60" t="s">
        <v>9</v>
      </c>
      <c r="C140" s="19" t="s">
        <v>473</v>
      </c>
      <c r="D140" s="19" t="s">
        <v>34</v>
      </c>
      <c r="E140" s="20" t="s">
        <v>474</v>
      </c>
      <c r="F140" s="21" t="s">
        <v>917</v>
      </c>
      <c r="G140" s="19" t="s">
        <v>40</v>
      </c>
      <c r="H140" s="18" t="s">
        <v>37</v>
      </c>
      <c r="I140" s="20" t="s">
        <v>918</v>
      </c>
      <c r="J140" s="20"/>
    </row>
    <row r="141" spans="1:10" ht="15" customHeight="1" x14ac:dyDescent="0.35">
      <c r="A141" s="18">
        <v>133</v>
      </c>
      <c r="B141" s="60" t="s">
        <v>9</v>
      </c>
      <c r="C141" s="19" t="s">
        <v>473</v>
      </c>
      <c r="D141" s="19" t="s">
        <v>34</v>
      </c>
      <c r="E141" s="20" t="s">
        <v>474</v>
      </c>
      <c r="F141" s="21" t="s">
        <v>919</v>
      </c>
      <c r="G141" s="19" t="s">
        <v>40</v>
      </c>
      <c r="H141" s="18" t="s">
        <v>37</v>
      </c>
      <c r="I141" s="20" t="s">
        <v>920</v>
      </c>
      <c r="J141" s="20"/>
    </row>
  </sheetData>
  <autoFilter ref="A4:J141" xr:uid="{00000000-0009-0000-0000-000009000000}"/>
  <mergeCells count="4">
    <mergeCell ref="A5:J5"/>
    <mergeCell ref="A16:J16"/>
    <mergeCell ref="A37:J37"/>
    <mergeCell ref="A138:J138"/>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32AC73BCC3C584E9E8549B3C1257A10" ma:contentTypeVersion="19" ma:contentTypeDescription="Crear nuevo documento." ma:contentTypeScope="" ma:versionID="f572ea81b424f8f9fad60a6388f9c7b2">
  <xsd:schema xmlns:xsd="http://www.w3.org/2001/XMLSchema" xmlns:xs="http://www.w3.org/2001/XMLSchema" xmlns:p="http://schemas.microsoft.com/office/2006/metadata/properties" xmlns:ns2="32e8ca54-f2f6-4c28-9f61-d569da5b88fb" xmlns:ns3="3a6598da-ede2-42a5-b7a3-cffebd6cdf8f" targetNamespace="http://schemas.microsoft.com/office/2006/metadata/properties" ma:root="true" ma:fieldsID="151f7e9b9d338676156c816bde08e994" ns2:_="" ns3:_="">
    <xsd:import namespace="32e8ca54-f2f6-4c28-9f61-d569da5b88fb"/>
    <xsd:import namespace="3a6598da-ede2-42a5-b7a3-cffebd6cdf8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e8ca54-f2f6-4c28-9f61-d569da5b88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ce2b47d6-4069-4696-8297-0d301c753170"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a6598da-ede2-42a5-b7a3-cffebd6cdf8f"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8612b060-9cb5-4736-ac9c-ad66dc5cbd40}" ma:internalName="TaxCatchAll" ma:showField="CatchAllData" ma:web="3a6598da-ede2-42a5-b7a3-cffebd6cdf8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2e8ca54-f2f6-4c28-9f61-d569da5b88fb">
      <Terms xmlns="http://schemas.microsoft.com/office/infopath/2007/PartnerControls"/>
    </lcf76f155ced4ddcb4097134ff3c332f>
    <TaxCatchAll xmlns="3a6598da-ede2-42a5-b7a3-cffebd6cdf8f" xsi:nil="true"/>
  </documentManagement>
</p:properties>
</file>

<file path=customXml/itemProps1.xml><?xml version="1.0" encoding="utf-8"?>
<ds:datastoreItem xmlns:ds="http://schemas.openxmlformats.org/officeDocument/2006/customXml" ds:itemID="{AB5D1AE1-CE0D-4027-81DB-1B2974E78B48}"/>
</file>

<file path=customXml/itemProps2.xml><?xml version="1.0" encoding="utf-8"?>
<ds:datastoreItem xmlns:ds="http://schemas.openxmlformats.org/officeDocument/2006/customXml" ds:itemID="{2B6BFA35-0966-4EA2-9CD4-D162B54EF30D}"/>
</file>

<file path=customXml/itemProps3.xml><?xml version="1.0" encoding="utf-8"?>
<ds:datastoreItem xmlns:ds="http://schemas.openxmlformats.org/officeDocument/2006/customXml" ds:itemID="{A15D8BC5-4546-44E2-8E96-42291E0CBA47}"/>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Resumen</vt:lpstr>
      <vt:lpstr>1. Principio Activo</vt:lpstr>
      <vt:lpstr>2. Medicamento</vt:lpstr>
      <vt:lpstr>3. Especialidad</vt:lpstr>
      <vt:lpstr>Eval. AEMPS (Especialidad)</vt:lpstr>
      <vt:lpstr>Fuente recomendada (Esp.)</vt:lpstr>
      <vt:lpstr>Eval. solo Ficha Técnica</vt:lpstr>
      <vt:lpstr>Estimación de esfuerzo</vt:lpstr>
      <vt:lpstr>4. Transversales</vt:lpstr>
      <vt:lpstr>Excluidos (gestión)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Elena Tomás Guillén</cp:lastModifiedBy>
  <cp:revision>0</cp:revision>
  <dcterms:created xsi:type="dcterms:W3CDTF">2026-07-29T07:25:38Z</dcterms:created>
  <dcterms:modified xsi:type="dcterms:W3CDTF">2026-07-29T11:10:57Z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0x010100932AC73BCC3C584E9E8549B3C1257A10</vt:lpwstr>
  </property>
</Properties>
</file>